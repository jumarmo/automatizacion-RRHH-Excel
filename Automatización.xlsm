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m\Desktop\Excel PQ\"/>
    </mc:Choice>
  </mc:AlternateContent>
  <xr:revisionPtr revIDLastSave="0" documentId="13_ncr:1_{0F2F983B-20D8-457E-8150-F23936D3C8DE}" xr6:coauthVersionLast="47" xr6:coauthVersionMax="47" xr10:uidLastSave="{00000000-0000-0000-0000-000000000000}"/>
  <bookViews>
    <workbookView xWindow="-108" yWindow="-108" windowWidth="23256" windowHeight="12456" firstSheet="2" activeTab="4" xr2:uid="{00000000-000D-0000-FFFF-FFFF00000000}"/>
  </bookViews>
  <sheets>
    <sheet name="Turnos" sheetId="3" state="hidden" r:id="rId1"/>
    <sheet name="Empleados" sheetId="2" state="hidden" r:id="rId2"/>
    <sheet name="Turnos y empleados" sheetId="4" r:id="rId3"/>
    <sheet name="Análisis" sheetId="9" r:id="rId4"/>
    <sheet name="Dashboard" sheetId="10" r:id="rId5"/>
  </sheets>
  <definedNames>
    <definedName name="DatosExternos_1" localSheetId="1" hidden="1">Empleados!$A$1:$Q$222</definedName>
    <definedName name="DatosExternos_1" localSheetId="2" hidden="1">'Turnos y empleados'!$A$1:$X$241</definedName>
    <definedName name="DatosExternos_2" localSheetId="0" hidden="1">Turnos!$A$1:$M$242</definedName>
  </definedNames>
  <calcPr calcId="191029"/>
  <pivotCaches>
    <pivotCache cacheId="3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0" l="1"/>
  <c r="F6" i="10"/>
  <c r="J6" i="10"/>
  <c r="N6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F6A61D-2822-4AE5-8329-B72440DB259A}" keepAlive="1" name="Consulta - Empleados_Limpio" description="Conexión a la consulta 'Empleados_Limpio' en el libro." type="5" refreshedVersion="8" saveData="1">
    <dbPr connection="Provider=Microsoft.Mashup.OleDb.1;Data Source=$Workbook$;Location=Empleados_Limpio;Extended Properties=&quot;&quot;" command="SELECT * FROM [Empleados_Limpio]"/>
  </connection>
  <connection id="2" xr16:uid="{A9059871-DAB5-4CCD-A33A-E7715C117B72}" keepAlive="1" name="Consulta - Turnos y empleados" description="Conexión a la consulta 'Turnos y empleados' en el libro." type="5" refreshedVersion="8" saveData="1">
    <dbPr connection="Provider=Microsoft.Mashup.OleDb.1;Data Source=$Workbook$;Location=&quot;Turnos y empleados&quot;;Extended Properties=&quot;&quot;" command="SELECT * FROM [Turnos y empleados]"/>
  </connection>
  <connection id="3" xr16:uid="{417883E3-B526-4B3A-8834-C537FD97DD31}" keepAlive="1" name="Consulta - Turnos_Limpio" description="Conexión a la consulta 'Turnos_Limpio' en el libro." type="5" refreshedVersion="8" saveData="1">
    <dbPr connection="Provider=Microsoft.Mashup.OleDb.1;Data Source=$Workbook$;Location=Turnos_Limpio;Extended Properties=&quot;&quot;" command="SELECT * FROM [Turnos_Limpio]"/>
  </connection>
</connections>
</file>

<file path=xl/sharedStrings.xml><?xml version="1.0" encoding="utf-8"?>
<sst xmlns="http://schemas.openxmlformats.org/spreadsheetml/2006/main" count="7677" uniqueCount="1325">
  <si>
    <t>ID_Empleado</t>
  </si>
  <si>
    <t>Nombre_Completo</t>
  </si>
  <si>
    <t>Nombre</t>
  </si>
  <si>
    <t>Apellido_1</t>
  </si>
  <si>
    <t>Apellido_2</t>
  </si>
  <si>
    <t>Departamento</t>
  </si>
  <si>
    <t>Cargo</t>
  </si>
  <si>
    <t>Centro_Trabajo</t>
  </si>
  <si>
    <t>Tipo_Contrato</t>
  </si>
  <si>
    <t>Salario_Anual_EUR</t>
  </si>
  <si>
    <t>Fecha_Alta</t>
  </si>
  <si>
    <t>Antiguedad_Anos</t>
  </si>
  <si>
    <t>Activo</t>
  </si>
  <si>
    <t>Email</t>
  </si>
  <si>
    <t>Telefono</t>
  </si>
  <si>
    <t>Pais</t>
  </si>
  <si>
    <t>Sexo</t>
  </si>
  <si>
    <t>EMP2824</t>
  </si>
  <si>
    <t>Carlos Mendoza Gutiérrez</t>
  </si>
  <si>
    <t>Carlos</t>
  </si>
  <si>
    <t>Mendoza</t>
  </si>
  <si>
    <t>Gutiérrez</t>
  </si>
  <si>
    <t>Comercial</t>
  </si>
  <si>
    <t>Xàtiva - Almacén Principal</t>
  </si>
  <si>
    <t>Indefinido</t>
  </si>
  <si>
    <t>Sí</t>
  </si>
  <si>
    <t>carlos.mendo@empresa.com</t>
  </si>
  <si>
    <t>675329037</t>
  </si>
  <si>
    <t>España</t>
  </si>
  <si>
    <t>Masculino</t>
  </si>
  <si>
    <t>EMP9928</t>
  </si>
  <si>
    <t>Verónica Álvarez Suárez</t>
  </si>
  <si>
    <t>Verónica</t>
  </si>
  <si>
    <t>Álvarez</t>
  </si>
  <si>
    <t>Suárez</t>
  </si>
  <si>
    <t>RRHH</t>
  </si>
  <si>
    <t>Técnico de RRHH</t>
  </si>
  <si>
    <t>Obra y Servicio</t>
  </si>
  <si>
    <t>veronica.álvar@empresa.es</t>
  </si>
  <si>
    <t>605831819</t>
  </si>
  <si>
    <t>EMP3045</t>
  </si>
  <si>
    <t>Nuria Pérez Sanz</t>
  </si>
  <si>
    <t>Nuria</t>
  </si>
  <si>
    <t>Pérez</t>
  </si>
  <si>
    <t>Sanz</t>
  </si>
  <si>
    <t>Gestor de Nóminas</t>
  </si>
  <si>
    <t>Madrid - Delegación</t>
  </si>
  <si>
    <t>Temporal</t>
  </si>
  <si>
    <t>nuria.pérez@empresa.com</t>
  </si>
  <si>
    <t>685320121</t>
  </si>
  <si>
    <t>EMP7065</t>
  </si>
  <si>
    <t>Cristina Muñoz Cortés</t>
  </si>
  <si>
    <t>Cristina</t>
  </si>
  <si>
    <t>Muñoz</t>
  </si>
  <si>
    <t>Cortés</t>
  </si>
  <si>
    <t>Valencia - Sede Central</t>
  </si>
  <si>
    <t>cristina.muñoz@empresa.com</t>
  </si>
  <si>
    <t>642339391</t>
  </si>
  <si>
    <t>Femenino</t>
  </si>
  <si>
    <t>EMP2084</t>
  </si>
  <si>
    <t>Fernando Núñez Cano</t>
  </si>
  <si>
    <t>Fernando</t>
  </si>
  <si>
    <t>Núñez</t>
  </si>
  <si>
    <t>Cano</t>
  </si>
  <si>
    <t>IT</t>
  </si>
  <si>
    <t>Técnico Informático</t>
  </si>
  <si>
    <t>Barcelona - Oficina Comercial</t>
  </si>
  <si>
    <t>fernando.núñez@empresa.com</t>
  </si>
  <si>
    <t>648586340</t>
  </si>
  <si>
    <t>EMP9348</t>
  </si>
  <si>
    <t>Diego Pérez Calvo</t>
  </si>
  <si>
    <t>Diego</t>
  </si>
  <si>
    <t>Calvo</t>
  </si>
  <si>
    <t>Logística</t>
  </si>
  <si>
    <t>Coordinador Logístico</t>
  </si>
  <si>
    <t>diego.pérez@empresa.com</t>
  </si>
  <si>
    <t>691306093</t>
  </si>
  <si>
    <t>EMP9797</t>
  </si>
  <si>
    <t>Lorena Gutiérrez Reyes</t>
  </si>
  <si>
    <t>Lorena</t>
  </si>
  <si>
    <t>Reyes</t>
  </si>
  <si>
    <t>lorena.gutié@empresa.com</t>
  </si>
  <si>
    <t>620513739</t>
  </si>
  <si>
    <t>EMP3646</t>
  </si>
  <si>
    <t>Irene Reyes Rubio</t>
  </si>
  <si>
    <t>Irene</t>
  </si>
  <si>
    <t>Rubio</t>
  </si>
  <si>
    <t>Gestor de Flota</t>
  </si>
  <si>
    <t>irene.reyes@empresa.com</t>
  </si>
  <si>
    <t>609289546</t>
  </si>
  <si>
    <t>EMP8787</t>
  </si>
  <si>
    <t>Víctor Hernández Alonso</t>
  </si>
  <si>
    <t>Víctor</t>
  </si>
  <si>
    <t>Hernández</t>
  </si>
  <si>
    <t>Alonso</t>
  </si>
  <si>
    <t>Producción</t>
  </si>
  <si>
    <t>Operario de Producción</t>
  </si>
  <si>
    <t>Prácticas</t>
  </si>
  <si>
    <t>victor.herná@empresa.es</t>
  </si>
  <si>
    <t>602823170</t>
  </si>
  <si>
    <t>EMP4608</t>
  </si>
  <si>
    <t>Laura González Cano</t>
  </si>
  <si>
    <t>Laura</t>
  </si>
  <si>
    <t>González</t>
  </si>
  <si>
    <t>laura.gonzá@empresa.com</t>
  </si>
  <si>
    <t>654634663</t>
  </si>
  <si>
    <t>EMP2588</t>
  </si>
  <si>
    <t>Teresa Morales Ramos</t>
  </si>
  <si>
    <t>Teresa</t>
  </si>
  <si>
    <t>Morales</t>
  </si>
  <si>
    <t>Ramos</t>
  </si>
  <si>
    <t>Técnico de Producción</t>
  </si>
  <si>
    <t>teresa.moral@empresa.com</t>
  </si>
  <si>
    <t>618814949</t>
  </si>
  <si>
    <t>EMP5563</t>
  </si>
  <si>
    <t>Andrés Romero González</t>
  </si>
  <si>
    <t>Andrés</t>
  </si>
  <si>
    <t>Romero</t>
  </si>
  <si>
    <t>Calidad</t>
  </si>
  <si>
    <t>Auditor Interno</t>
  </si>
  <si>
    <t>andres.romer@empresa.com</t>
  </si>
  <si>
    <t>607869910</t>
  </si>
  <si>
    <t>EMP1035</t>
  </si>
  <si>
    <t>Nuria Alonso Ortega</t>
  </si>
  <si>
    <t>Ortega</t>
  </si>
  <si>
    <t>Responsable de RRHH</t>
  </si>
  <si>
    <t>nuria.alons@empresa.com</t>
  </si>
  <si>
    <t>667491435</t>
  </si>
  <si>
    <t>EMP9320</t>
  </si>
  <si>
    <t>Pedro Díaz González</t>
  </si>
  <si>
    <t>Pedro</t>
  </si>
  <si>
    <t>Díaz</t>
  </si>
  <si>
    <t>Almacén</t>
  </si>
  <si>
    <t>Operario de Carretilla</t>
  </si>
  <si>
    <t>pedro.díaz@empresa.com</t>
  </si>
  <si>
    <t>689889098</t>
  </si>
  <si>
    <t>EMP5351</t>
  </si>
  <si>
    <t>Raúl Jiménez Cortés</t>
  </si>
  <si>
    <t>Raúl</t>
  </si>
  <si>
    <t>Jiménez</t>
  </si>
  <si>
    <t>raul.jimén@empresa.es</t>
  </si>
  <si>
    <t>609233013</t>
  </si>
  <si>
    <t>EMP5669</t>
  </si>
  <si>
    <t>Isabel Suárez Marín</t>
  </si>
  <si>
    <t>Isabel</t>
  </si>
  <si>
    <t>Marín</t>
  </si>
  <si>
    <t>isabel.suáre@empresa.es</t>
  </si>
  <si>
    <t>681178885</t>
  </si>
  <si>
    <t>EMP6617</t>
  </si>
  <si>
    <t>Fernando Guerrero Santos</t>
  </si>
  <si>
    <t>Guerrero</t>
  </si>
  <si>
    <t>Santos</t>
  </si>
  <si>
    <t>No</t>
  </si>
  <si>
    <t>fernando.guerr@empresa.com</t>
  </si>
  <si>
    <t>685511909</t>
  </si>
  <si>
    <t>EMP8239</t>
  </si>
  <si>
    <t>Víctor Cano Morales</t>
  </si>
  <si>
    <t>victor.cano@empresa.com</t>
  </si>
  <si>
    <t>648024342</t>
  </si>
  <si>
    <t>EMP5088</t>
  </si>
  <si>
    <t>Teresa Rodríguez Ramos</t>
  </si>
  <si>
    <t>Rodríguez</t>
  </si>
  <si>
    <t>Supervisor de Línea</t>
  </si>
  <si>
    <t>teresa.rodrí@empresa.com</t>
  </si>
  <si>
    <t>694123965</t>
  </si>
  <si>
    <t>EMP1634</t>
  </si>
  <si>
    <t>Alicia Álvarez Moreno</t>
  </si>
  <si>
    <t>Alicia</t>
  </si>
  <si>
    <t>Moreno</t>
  </si>
  <si>
    <t>Inspector de Calidad</t>
  </si>
  <si>
    <t>alicia.álvar@empresa.com</t>
  </si>
  <si>
    <t>691203377</t>
  </si>
  <si>
    <t>EMP2889</t>
  </si>
  <si>
    <t>Carmen Díaz Iglesias</t>
  </si>
  <si>
    <t>Carmen</t>
  </si>
  <si>
    <t>Iglesias</t>
  </si>
  <si>
    <t>carmen.díaz@empresa.com</t>
  </si>
  <si>
    <t>695131550</t>
  </si>
  <si>
    <t>EMP9518</t>
  </si>
  <si>
    <t>Irene Guerrero Herrera</t>
  </si>
  <si>
    <t>Herrera</t>
  </si>
  <si>
    <t>Key Account Manager</t>
  </si>
  <si>
    <t>irene.guerr@empresa.es</t>
  </si>
  <si>
    <t>654009265</t>
  </si>
  <si>
    <t>EMP3085</t>
  </si>
  <si>
    <t>Rosa Molina Cortés</t>
  </si>
  <si>
    <t>Rosa</t>
  </si>
  <si>
    <t>Molina</t>
  </si>
  <si>
    <t>rosa.molin@empresa.com</t>
  </si>
  <si>
    <t>668608612</t>
  </si>
  <si>
    <t>EMP2389</t>
  </si>
  <si>
    <t>Silvia Ortiz Cortés</t>
  </si>
  <si>
    <t>Silvia</t>
  </si>
  <si>
    <t>Ortiz</t>
  </si>
  <si>
    <t>silvia.ortiz@empresa.com</t>
  </si>
  <si>
    <t>696414756</t>
  </si>
  <si>
    <t>EMP7547</t>
  </si>
  <si>
    <t>Jorge Ruiz Castillo</t>
  </si>
  <si>
    <t>Jorge</t>
  </si>
  <si>
    <t>Ruiz</t>
  </si>
  <si>
    <t>Castillo</t>
  </si>
  <si>
    <t>jorge.ruiz@empresa.com</t>
  </si>
  <si>
    <t>689600766</t>
  </si>
  <si>
    <t>EMP8251</t>
  </si>
  <si>
    <t>Óscar Herrera Ortiz</t>
  </si>
  <si>
    <t>Óscar</t>
  </si>
  <si>
    <t>oscar.herre@empresa.com</t>
  </si>
  <si>
    <t>695770370</t>
  </si>
  <si>
    <t>EMP5451</t>
  </si>
  <si>
    <t>Alejandro Domínguez Marín</t>
  </si>
  <si>
    <t>Alejandro</t>
  </si>
  <si>
    <t>Domínguez</t>
  </si>
  <si>
    <t>Mozo de Almacén</t>
  </si>
  <si>
    <t>alejandro.domín@empresa.com</t>
  </si>
  <si>
    <t>627760841</t>
  </si>
  <si>
    <t>EMP1320</t>
  </si>
  <si>
    <t>Lorena Núñez Serrano</t>
  </si>
  <si>
    <t>Serrano</t>
  </si>
  <si>
    <t>Técnico de Calidad</t>
  </si>
  <si>
    <t>lorena.núñez@empresa.com</t>
  </si>
  <si>
    <t>665181765</t>
  </si>
  <si>
    <t>EMP6507</t>
  </si>
  <si>
    <t>Teresa Guerrero Blanco</t>
  </si>
  <si>
    <t>Blanco</t>
  </si>
  <si>
    <t>Administración</t>
  </si>
  <si>
    <t>Auxiliar Administrativo</t>
  </si>
  <si>
    <t>teresa.guerr@empresa.com</t>
  </si>
  <si>
    <t>634917589</t>
  </si>
  <si>
    <t>EMP4467</t>
  </si>
  <si>
    <t>Andrés Domínguez Vázquez</t>
  </si>
  <si>
    <t>Vázquez</t>
  </si>
  <si>
    <t>andres.domín@empresa.com</t>
  </si>
  <si>
    <t>626757737</t>
  </si>
  <si>
    <t>EMP4908</t>
  </si>
  <si>
    <t>Patricia Castro Cortés</t>
  </si>
  <si>
    <t>Patricia</t>
  </si>
  <si>
    <t>Castro</t>
  </si>
  <si>
    <t>patricia.castr@empresa.com</t>
  </si>
  <si>
    <t>641870192</t>
  </si>
  <si>
    <t>EMP4249</t>
  </si>
  <si>
    <t>Ana Iglesias Lozano</t>
  </si>
  <si>
    <t>Ana</t>
  </si>
  <si>
    <t>Lozano</t>
  </si>
  <si>
    <t>ana.igles@empresa.com</t>
  </si>
  <si>
    <t>665793759</t>
  </si>
  <si>
    <t>EMP6934</t>
  </si>
  <si>
    <t>Pilar Ortega Cano</t>
  </si>
  <si>
    <t>Pilar</t>
  </si>
  <si>
    <t>pilar.orteg@empresa.es</t>
  </si>
  <si>
    <t>660505620</t>
  </si>
  <si>
    <t>EMP8613</t>
  </si>
  <si>
    <t>Eva Garrido Cortés</t>
  </si>
  <si>
    <t>Eva</t>
  </si>
  <si>
    <t>Garrido</t>
  </si>
  <si>
    <t>eva.garri@empresa.com</t>
  </si>
  <si>
    <t>669340535</t>
  </si>
  <si>
    <t>EMP4954</t>
  </si>
  <si>
    <t>Rocío Molina Delgado</t>
  </si>
  <si>
    <t>Rocío</t>
  </si>
  <si>
    <t>Delgado</t>
  </si>
  <si>
    <t>Técnico Comercial</t>
  </si>
  <si>
    <t>rocio.molin@empresa.es</t>
  </si>
  <si>
    <t>657110154</t>
  </si>
  <si>
    <t>EMP8434</t>
  </si>
  <si>
    <t>Rubén Torres Alonso</t>
  </si>
  <si>
    <t>Rubén</t>
  </si>
  <si>
    <t>Torres</t>
  </si>
  <si>
    <t>ruben.torre@empresa.es</t>
  </si>
  <si>
    <t>613492385</t>
  </si>
  <si>
    <t>EMP4727</t>
  </si>
  <si>
    <t>Pablo Díaz Torres</t>
  </si>
  <si>
    <t>Pablo</t>
  </si>
  <si>
    <t>pablo.díaz@empresa.es</t>
  </si>
  <si>
    <t>663001391</t>
  </si>
  <si>
    <t>EMP6582</t>
  </si>
  <si>
    <t>David Sánchez Alonso</t>
  </si>
  <si>
    <t>David</t>
  </si>
  <si>
    <t>Sánchez</t>
  </si>
  <si>
    <t>david.sánch@empresa.com</t>
  </si>
  <si>
    <t>681378577</t>
  </si>
  <si>
    <t>EMP9561</t>
  </si>
  <si>
    <t>Nuria Suárez Suárez</t>
  </si>
  <si>
    <t>nuria.suáre@empresa.com</t>
  </si>
  <si>
    <t>632194159</t>
  </si>
  <si>
    <t>EMP2229</t>
  </si>
  <si>
    <t>Isabel García Molina</t>
  </si>
  <si>
    <t>García</t>
  </si>
  <si>
    <t>isabel.garcí@empresa.com</t>
  </si>
  <si>
    <t>673089925</t>
  </si>
  <si>
    <t>EMP3441</t>
  </si>
  <si>
    <t>Rubén Ruiz González</t>
  </si>
  <si>
    <t>ruben.ruiz@empresa.com</t>
  </si>
  <si>
    <t>657985905</t>
  </si>
  <si>
    <t>EMP5102</t>
  </si>
  <si>
    <t>Carlos Pérez Álvarez</t>
  </si>
  <si>
    <t>carlos.pérez@empresa.com</t>
  </si>
  <si>
    <t>663083727</t>
  </si>
  <si>
    <t>EMP6460</t>
  </si>
  <si>
    <t>Beatriz Cortés Rodríguez</t>
  </si>
  <si>
    <t>Beatriz</t>
  </si>
  <si>
    <t>beatriz.corté@empresa.com</t>
  </si>
  <si>
    <t>654247457</t>
  </si>
  <si>
    <t>EMP9889</t>
  </si>
  <si>
    <t>Andrés Molina Sánchez</t>
  </si>
  <si>
    <t>andres.molin@empresa.com</t>
  </si>
  <si>
    <t>684560158</t>
  </si>
  <si>
    <t>EMP6091</t>
  </si>
  <si>
    <t>Víctor García Sanz</t>
  </si>
  <si>
    <t>victor.garcí@empresa.com</t>
  </si>
  <si>
    <t>663380266</t>
  </si>
  <si>
    <t>EMP3369</t>
  </si>
  <si>
    <t>Nuria Moreno Medina</t>
  </si>
  <si>
    <t>Medina</t>
  </si>
  <si>
    <t>Administrativo</t>
  </si>
  <si>
    <t>nuria.moren@empresa.com</t>
  </si>
  <si>
    <t>672287061</t>
  </si>
  <si>
    <t>EMP6446</t>
  </si>
  <si>
    <t>Víctor Calvo Marín</t>
  </si>
  <si>
    <t>victor.calvo@empresa.com</t>
  </si>
  <si>
    <t>666481885</t>
  </si>
  <si>
    <t>EMP9229</t>
  </si>
  <si>
    <t>Alberto Vázquez Rodríguez</t>
  </si>
  <si>
    <t>Alberto</t>
  </si>
  <si>
    <t>alberto.vázqu@empresa.es</t>
  </si>
  <si>
    <t>690510730</t>
  </si>
  <si>
    <t>EMP8994</t>
  </si>
  <si>
    <t>Irene López Garrido</t>
  </si>
  <si>
    <t>López</t>
  </si>
  <si>
    <t>irene.lópez@empresa.es</t>
  </si>
  <si>
    <t>607532195</t>
  </si>
  <si>
    <t>EMP7141</t>
  </si>
  <si>
    <t>Iván Ruiz Romero</t>
  </si>
  <si>
    <t>Iván</t>
  </si>
  <si>
    <t>ivan.ruiz@empresa.com</t>
  </si>
  <si>
    <t>634269370</t>
  </si>
  <si>
    <t>EMP8622</t>
  </si>
  <si>
    <t>Silvia Guerrero Marín</t>
  </si>
  <si>
    <t>silvia.guerr@empresa.com</t>
  </si>
  <si>
    <t>631837210</t>
  </si>
  <si>
    <t>EMP6881</t>
  </si>
  <si>
    <t>Eva Navarro Lozano</t>
  </si>
  <si>
    <t>Navarro</t>
  </si>
  <si>
    <t>eva.navar@empresa.es</t>
  </si>
  <si>
    <t>629394291</t>
  </si>
  <si>
    <t>EMP5106</t>
  </si>
  <si>
    <t>Roberto Calvo Herrera</t>
  </si>
  <si>
    <t>Roberto</t>
  </si>
  <si>
    <t>Responsable de Oficina</t>
  </si>
  <si>
    <t>roberto.calvo@empresa.com</t>
  </si>
  <si>
    <t>617738187</t>
  </si>
  <si>
    <t>EMP5465</t>
  </si>
  <si>
    <t>Isabel Alonso Castro</t>
  </si>
  <si>
    <t>isabel.alons@empresa.es</t>
  </si>
  <si>
    <t>672017516</t>
  </si>
  <si>
    <t>EMP7038</t>
  </si>
  <si>
    <t>Roberto Mendoza Guerrero</t>
  </si>
  <si>
    <t>roberto.mendo@empresa.com</t>
  </si>
  <si>
    <t>615659979</t>
  </si>
  <si>
    <t>EMP1609</t>
  </si>
  <si>
    <t>Antonio Delgado Fernández</t>
  </si>
  <si>
    <t>Antonio</t>
  </si>
  <si>
    <t>Fernández</t>
  </si>
  <si>
    <t>antonio.delga@empresa.com</t>
  </si>
  <si>
    <t>637546086</t>
  </si>
  <si>
    <t>EMP7070</t>
  </si>
  <si>
    <t>Fernando Suárez Suárez</t>
  </si>
  <si>
    <t>fernando.suáre@empresa.com</t>
  </si>
  <si>
    <t>606788532</t>
  </si>
  <si>
    <t>EMP3063</t>
  </si>
  <si>
    <t>Eva Muñoz González</t>
  </si>
  <si>
    <t>eva.muñoz@empresa.com</t>
  </si>
  <si>
    <t>688725654</t>
  </si>
  <si>
    <t>EMP1243</t>
  </si>
  <si>
    <t>Cristina Romero Iglesias</t>
  </si>
  <si>
    <t>cristina.romer@empresa.com</t>
  </si>
  <si>
    <t>682558242</t>
  </si>
  <si>
    <t>EMP9543</t>
  </si>
  <si>
    <t>Antonio Ortega Castillo</t>
  </si>
  <si>
    <t>antonio.orteg@empresa.com</t>
  </si>
  <si>
    <t>636912022</t>
  </si>
  <si>
    <t>EMP9692</t>
  </si>
  <si>
    <t>Silvia Ortega Ortiz</t>
  </si>
  <si>
    <t>silvia.orteg@empresa.es</t>
  </si>
  <si>
    <t>689269266</t>
  </si>
  <si>
    <t>EMP3500</t>
  </si>
  <si>
    <t>Roberto Castro González</t>
  </si>
  <si>
    <t>roberto.castr@empresa.com</t>
  </si>
  <si>
    <t>696779126</t>
  </si>
  <si>
    <t>EMP6119</t>
  </si>
  <si>
    <t>Cristina Rodríguez Núñez</t>
  </si>
  <si>
    <t>cristina.rodrí@empresa.com</t>
  </si>
  <si>
    <t>681737913</t>
  </si>
  <si>
    <t>EMP3955</t>
  </si>
  <si>
    <t>Rubén Lozano Calvo</t>
  </si>
  <si>
    <t>ruben.lozan@empresa.com</t>
  </si>
  <si>
    <t>660887307</t>
  </si>
  <si>
    <t>EMP7062</t>
  </si>
  <si>
    <t>Antonio Herrera Domínguez</t>
  </si>
  <si>
    <t>antonio.herre@empresa.es</t>
  </si>
  <si>
    <t>628933176</t>
  </si>
  <si>
    <t>EMP8043</t>
  </si>
  <si>
    <t>Sergio Navarro Guerrero</t>
  </si>
  <si>
    <t>Sergio</t>
  </si>
  <si>
    <t>sergio.navar@empresa.com</t>
  </si>
  <si>
    <t>601037490</t>
  </si>
  <si>
    <t>EMP3878</t>
  </si>
  <si>
    <t>Patricia Serrano Marín</t>
  </si>
  <si>
    <t>patricia.serra@empresa.com</t>
  </si>
  <si>
    <t>695227338</t>
  </si>
  <si>
    <t>EMP7636</t>
  </si>
  <si>
    <t>Carlos Domínguez Hernández</t>
  </si>
  <si>
    <t>carlos.domín@empresa.com</t>
  </si>
  <si>
    <t>644703713</t>
  </si>
  <si>
    <t>EMP9363</t>
  </si>
  <si>
    <t>Pilar Fernández Rubio</t>
  </si>
  <si>
    <t>pilar.ferná@empresa.com</t>
  </si>
  <si>
    <t>691420187</t>
  </si>
  <si>
    <t>EMP6179</t>
  </si>
  <si>
    <t>Miguel Suárez González</t>
  </si>
  <si>
    <t>Miguel</t>
  </si>
  <si>
    <t>miguel.suáre@empresa.com</t>
  </si>
  <si>
    <t>686525668</t>
  </si>
  <si>
    <t>EMP9307</t>
  </si>
  <si>
    <t>Nuria Ortega Iglesias</t>
  </si>
  <si>
    <t>Técnico de Transporte</t>
  </si>
  <si>
    <t>nuria.orteg@empresa.com</t>
  </si>
  <si>
    <t>694975377</t>
  </si>
  <si>
    <t>EMP9586</t>
  </si>
  <si>
    <t>Marcos Garrido Hernández</t>
  </si>
  <si>
    <t>Marcos</t>
  </si>
  <si>
    <t>Analista de Sistemas</t>
  </si>
  <si>
    <t>marcos.garri@empresa.es</t>
  </si>
  <si>
    <t>697137886</t>
  </si>
  <si>
    <t>EMP2335</t>
  </si>
  <si>
    <t>Alberto Cortés Ruiz</t>
  </si>
  <si>
    <t>alberto.corté@empresa.es</t>
  </si>
  <si>
    <t>602446861</t>
  </si>
  <si>
    <t>EMP3953</t>
  </si>
  <si>
    <t>Fernando Vázquez Reyes</t>
  </si>
  <si>
    <t>fernando.vázqu@empresa.com</t>
  </si>
  <si>
    <t>620703455</t>
  </si>
  <si>
    <t>EMP3712</t>
  </si>
  <si>
    <t>Rocío Suárez López</t>
  </si>
  <si>
    <t>rocio.suáre@empresa.es</t>
  </si>
  <si>
    <t>691040800</t>
  </si>
  <si>
    <t>EMP5616</t>
  </si>
  <si>
    <t>Tomás Serrano Ortiz</t>
  </si>
  <si>
    <t>Tomás</t>
  </si>
  <si>
    <t>tomas.serra@empresa.es</t>
  </si>
  <si>
    <t>660306604</t>
  </si>
  <si>
    <t>EMP8167</t>
  </si>
  <si>
    <t>Pedro Álvarez Suárez</t>
  </si>
  <si>
    <t>pedro.álvar@empresa.com</t>
  </si>
  <si>
    <t>618468304</t>
  </si>
  <si>
    <t>EMP8740</t>
  </si>
  <si>
    <t>Virginia Jiménez Calvo</t>
  </si>
  <si>
    <t>Virginia</t>
  </si>
  <si>
    <t>virginia.jimén@empresa.com</t>
  </si>
  <si>
    <t>606408822</t>
  </si>
  <si>
    <t>EMP8489</t>
  </si>
  <si>
    <t>Ana Fernández Delgado</t>
  </si>
  <si>
    <t>ana.ferná@empresa.com</t>
  </si>
  <si>
    <t>652405812</t>
  </si>
  <si>
    <t>EMP7338</t>
  </si>
  <si>
    <t>Pablo Alonso Mendoza</t>
  </si>
  <si>
    <t>pablo.alons@empresa.com</t>
  </si>
  <si>
    <t>693333565</t>
  </si>
  <si>
    <t>EMP3986</t>
  </si>
  <si>
    <t>Patricia González Cano</t>
  </si>
  <si>
    <t>patricia.gonzá@empresa.com</t>
  </si>
  <si>
    <t>686825515</t>
  </si>
  <si>
    <t>EMP6848</t>
  </si>
  <si>
    <t>Tomás Sánchez Castillo</t>
  </si>
  <si>
    <t>tomas.sánch@empresa.es</t>
  </si>
  <si>
    <t>611087928</t>
  </si>
  <si>
    <t>EMP8055</t>
  </si>
  <si>
    <t>Natalia Díaz Marín</t>
  </si>
  <si>
    <t>Natalia</t>
  </si>
  <si>
    <t>natalia.díaz@empresa.es</t>
  </si>
  <si>
    <t>682523968</t>
  </si>
  <si>
    <t>EMP1939</t>
  </si>
  <si>
    <t>Ana Cortés Santos</t>
  </si>
  <si>
    <t>ana.corté@empresa.com</t>
  </si>
  <si>
    <t>676134287</t>
  </si>
  <si>
    <t>EMP3513</t>
  </si>
  <si>
    <t>Roberto Suárez Gil</t>
  </si>
  <si>
    <t>Gil</t>
  </si>
  <si>
    <t>roberto.suáre@empresa.com</t>
  </si>
  <si>
    <t>675386435</t>
  </si>
  <si>
    <t>EMP5264</t>
  </si>
  <si>
    <t>Eduardo Suárez Muñoz</t>
  </si>
  <si>
    <t>Eduardo</t>
  </si>
  <si>
    <t>eduardo.suáre@empresa.es</t>
  </si>
  <si>
    <t>640259503</t>
  </si>
  <si>
    <t>EMP3852</t>
  </si>
  <si>
    <t>Pablo Ortiz Álvarez</t>
  </si>
  <si>
    <t>pablo.ortiz@empresa.es</t>
  </si>
  <si>
    <t>653440127</t>
  </si>
  <si>
    <t>EMP7730</t>
  </si>
  <si>
    <t>Tomás Molina Núñez</t>
  </si>
  <si>
    <t>tomas.molin@empresa.com</t>
  </si>
  <si>
    <t>616664623</t>
  </si>
  <si>
    <t>EMP3697</t>
  </si>
  <si>
    <t>Isabel Domínguez Cano</t>
  </si>
  <si>
    <t>isabel.domín@empresa.com</t>
  </si>
  <si>
    <t>679431184</t>
  </si>
  <si>
    <t>EMP6531</t>
  </si>
  <si>
    <t>Eva López Martínez</t>
  </si>
  <si>
    <t>Martínez</t>
  </si>
  <si>
    <t>eva.lópez@empresa.com</t>
  </si>
  <si>
    <t>639920898</t>
  </si>
  <si>
    <t>EMP1981</t>
  </si>
  <si>
    <t>Isabel Suárez Molina</t>
  </si>
  <si>
    <t>isabel.suáre@empresa.com</t>
  </si>
  <si>
    <t>662608888</t>
  </si>
  <si>
    <t>EMP8366</t>
  </si>
  <si>
    <t>Jorge Ruiz Rodríguez</t>
  </si>
  <si>
    <t>jorge.ruiz@empresa.es</t>
  </si>
  <si>
    <t>666755908</t>
  </si>
  <si>
    <t>EMP7442</t>
  </si>
  <si>
    <t>Sandra Ortega Romero</t>
  </si>
  <si>
    <t>Sandra</t>
  </si>
  <si>
    <t>sandra.orteg@empresa.es</t>
  </si>
  <si>
    <t>697644479</t>
  </si>
  <si>
    <t>EMP7606</t>
  </si>
  <si>
    <t>Pablo López Blanco</t>
  </si>
  <si>
    <t>pablo.lópez@empresa.es</t>
  </si>
  <si>
    <t>645511258</t>
  </si>
  <si>
    <t>EMP3363</t>
  </si>
  <si>
    <t>Rosa Medina Ortiz</t>
  </si>
  <si>
    <t>rosa.medin@empresa.es</t>
  </si>
  <si>
    <t>621810655</t>
  </si>
  <si>
    <t>EMP5902</t>
  </si>
  <si>
    <t>Alberto Vázquez Ortiz</t>
  </si>
  <si>
    <t>alberto.vázqu@empresa.com</t>
  </si>
  <si>
    <t>696824684</t>
  </si>
  <si>
    <t>EMP8871</t>
  </si>
  <si>
    <t>Isabel Rubio Santos</t>
  </si>
  <si>
    <t>isabel.rubio@empresa.com</t>
  </si>
  <si>
    <t>667353073</t>
  </si>
  <si>
    <t>EMP2020</t>
  </si>
  <si>
    <t>Eduardo Jiménez Rubio</t>
  </si>
  <si>
    <t>eduardo.jimén@empresa.com</t>
  </si>
  <si>
    <t>637447604</t>
  </si>
  <si>
    <t>EMP5876</t>
  </si>
  <si>
    <t>Tomás Navarro Cano</t>
  </si>
  <si>
    <t>tomas.navar@empresa.es</t>
  </si>
  <si>
    <t>619659692</t>
  </si>
  <si>
    <t>EMP5712</t>
  </si>
  <si>
    <t>Eduardo Pérez Ramos</t>
  </si>
  <si>
    <t>eduardo.pérez@empresa.com</t>
  </si>
  <si>
    <t>689903592</t>
  </si>
  <si>
    <t>EMP4814</t>
  </si>
  <si>
    <t>Javier Rodríguez Molina</t>
  </si>
  <si>
    <t>Javier</t>
  </si>
  <si>
    <t>Desarrollador</t>
  </si>
  <si>
    <t>javier.rodrí@empresa.es</t>
  </si>
  <si>
    <t>638307798</t>
  </si>
  <si>
    <t>EMP4804</t>
  </si>
  <si>
    <t>Irene Mendoza Herrera</t>
  </si>
  <si>
    <t>irene.mendo@empresa.com</t>
  </si>
  <si>
    <t>644968591</t>
  </si>
  <si>
    <t>EMP9901</t>
  </si>
  <si>
    <t>Marcos Delgado Jiménez</t>
  </si>
  <si>
    <t>marcos.delga@empresa.com</t>
  </si>
  <si>
    <t>657405358</t>
  </si>
  <si>
    <t>EMP7567</t>
  </si>
  <si>
    <t>Teresa Rodríguez Díaz</t>
  </si>
  <si>
    <t>689628735</t>
  </si>
  <si>
    <t>EMP6026</t>
  </si>
  <si>
    <t>Isabel Blanco Guerrero</t>
  </si>
  <si>
    <t>isabel.blanc@empresa.com</t>
  </si>
  <si>
    <t>672144402</t>
  </si>
  <si>
    <t>EMP5054</t>
  </si>
  <si>
    <t>Roberto Calvo Medina</t>
  </si>
  <si>
    <t>615601471</t>
  </si>
  <si>
    <t>EMP9008</t>
  </si>
  <si>
    <t>Pedro Ortiz Suárez</t>
  </si>
  <si>
    <t>pedro.ortiz@empresa.com</t>
  </si>
  <si>
    <t>677619624</t>
  </si>
  <si>
    <t>EMP7941</t>
  </si>
  <si>
    <t>Cristina Lozano González</t>
  </si>
  <si>
    <t>cristina.lozan@empresa.com</t>
  </si>
  <si>
    <t>691634516</t>
  </si>
  <si>
    <t>EMP6697</t>
  </si>
  <si>
    <t>Sergio Díaz Marín</t>
  </si>
  <si>
    <t>sergio.díaz@empresa.com</t>
  </si>
  <si>
    <t>661824078</t>
  </si>
  <si>
    <t>EMP4088</t>
  </si>
  <si>
    <t>Rocío Calvo Fernández</t>
  </si>
  <si>
    <t>rocio.calvo@empresa.com</t>
  </si>
  <si>
    <t>631452485</t>
  </si>
  <si>
    <t>EMP1924</t>
  </si>
  <si>
    <t>Patricia Ortiz Navarro</t>
  </si>
  <si>
    <t>patricia.ortiz@empresa.com</t>
  </si>
  <si>
    <t>684019376</t>
  </si>
  <si>
    <t>EMP9120</t>
  </si>
  <si>
    <t>Javier Ramos Castillo</t>
  </si>
  <si>
    <t>javier.ramos@empresa.com</t>
  </si>
  <si>
    <t>675482164</t>
  </si>
  <si>
    <t>EMP9683</t>
  </si>
  <si>
    <t>Patricia Serrano Romero</t>
  </si>
  <si>
    <t>678864147</t>
  </si>
  <si>
    <t>EMP4422</t>
  </si>
  <si>
    <t>Alejandro Torres García</t>
  </si>
  <si>
    <t>alejandro.torre@empresa.es</t>
  </si>
  <si>
    <t>641395738</t>
  </si>
  <si>
    <t>EMP9401</t>
  </si>
  <si>
    <t>Diego Ortega Rodríguez</t>
  </si>
  <si>
    <t>diego.orteg@empresa.com</t>
  </si>
  <si>
    <t>626332415</t>
  </si>
  <si>
    <t>EMP7223</t>
  </si>
  <si>
    <t>Eva Romero Delgado</t>
  </si>
  <si>
    <t>eva.romer@empresa.com</t>
  </si>
  <si>
    <t>609976458</t>
  </si>
  <si>
    <t>EMP1104</t>
  </si>
  <si>
    <t>Verónica Jiménez Santos</t>
  </si>
  <si>
    <t>veronica.jimén@empresa.com</t>
  </si>
  <si>
    <t>601590610</t>
  </si>
  <si>
    <t>EMP5501</t>
  </si>
  <si>
    <t>Irene Navarro Martínez</t>
  </si>
  <si>
    <t>irene.navar@empresa.es</t>
  </si>
  <si>
    <t>654496076</t>
  </si>
  <si>
    <t>EMP4984</t>
  </si>
  <si>
    <t>Virginia Álvarez Torres</t>
  </si>
  <si>
    <t>virginia.álvar@empresa.es</t>
  </si>
  <si>
    <t>675947990</t>
  </si>
  <si>
    <t>EMP1697</t>
  </si>
  <si>
    <t>Lucía Muñoz Lozano</t>
  </si>
  <si>
    <t>Lucía</t>
  </si>
  <si>
    <t>lucia.muñoz@empresa.com</t>
  </si>
  <si>
    <t>695658504</t>
  </si>
  <si>
    <t>EMP5903</t>
  </si>
  <si>
    <t>Isabel Núñez Romero</t>
  </si>
  <si>
    <t>isabel.núñez@empresa.com</t>
  </si>
  <si>
    <t>610202996</t>
  </si>
  <si>
    <t>EMP7499</t>
  </si>
  <si>
    <t>Tomás Domínguez Martínez</t>
  </si>
  <si>
    <t>tomas.domín@empresa.es</t>
  </si>
  <si>
    <t>620699187</t>
  </si>
  <si>
    <t>EMP3527</t>
  </si>
  <si>
    <t>Francisco Serrano Domínguez</t>
  </si>
  <si>
    <t>Francisco</t>
  </si>
  <si>
    <t>francisco.serra@empresa.com</t>
  </si>
  <si>
    <t>613863742</t>
  </si>
  <si>
    <t>EMP6798</t>
  </si>
  <si>
    <t>Víctor Pérez Medina</t>
  </si>
  <si>
    <t>victor.pérez@empresa.es</t>
  </si>
  <si>
    <t>640417154</t>
  </si>
  <si>
    <t>EMP3390</t>
  </si>
  <si>
    <t>Ana Hernández Morales</t>
  </si>
  <si>
    <t>ana.herná@empresa.es</t>
  </si>
  <si>
    <t>600908300</t>
  </si>
  <si>
    <t>EMP7224</t>
  </si>
  <si>
    <t>Alejandro Suárez Vázquez</t>
  </si>
  <si>
    <t>alejandro.suáre@empresa.com</t>
  </si>
  <si>
    <t>643739710</t>
  </si>
  <si>
    <t>EMP7437</t>
  </si>
  <si>
    <t>Pablo Fernández Núñez</t>
  </si>
  <si>
    <t>pablo.ferná@empresa.com</t>
  </si>
  <si>
    <t>685004924</t>
  </si>
  <si>
    <t>EMP5139</t>
  </si>
  <si>
    <t>Teresa Ruiz Cano</t>
  </si>
  <si>
    <t>teresa.ruiz@empresa.com</t>
  </si>
  <si>
    <t>614679315</t>
  </si>
  <si>
    <t>EMP6816</t>
  </si>
  <si>
    <t>Isabel Castillo Garrido</t>
  </si>
  <si>
    <t>isabel.casti@empresa.com</t>
  </si>
  <si>
    <t>691208393</t>
  </si>
  <si>
    <t>EMP1402</t>
  </si>
  <si>
    <t>Alicia Rodríguez Navarro</t>
  </si>
  <si>
    <t>alicia.rodrí@empresa.com</t>
  </si>
  <si>
    <t>642803305</t>
  </si>
  <si>
    <t>EMP1732</t>
  </si>
  <si>
    <t>Eduardo Fernández Martínez</t>
  </si>
  <si>
    <t>eduardo.ferná@empresa.com</t>
  </si>
  <si>
    <t>654364546</t>
  </si>
  <si>
    <t>EMP8080</t>
  </si>
  <si>
    <t>Raúl Martínez Mendoza</t>
  </si>
  <si>
    <t>raul.martí@empresa.es</t>
  </si>
  <si>
    <t>626450861</t>
  </si>
  <si>
    <t>EMP5298</t>
  </si>
  <si>
    <t>Teresa Delgado Rubio</t>
  </si>
  <si>
    <t>teresa.delga@empresa.es</t>
  </si>
  <si>
    <t>615819123</t>
  </si>
  <si>
    <t>EMP2916</t>
  </si>
  <si>
    <t>David Gil Lozano</t>
  </si>
  <si>
    <t>david.gil@empresa.es</t>
  </si>
  <si>
    <t>618830282</t>
  </si>
  <si>
    <t>EMP8389</t>
  </si>
  <si>
    <t>Óscar Sánchez Ramos</t>
  </si>
  <si>
    <t>oscar.sánch@empresa.com</t>
  </si>
  <si>
    <t>611095863</t>
  </si>
  <si>
    <t>EMP4613</t>
  </si>
  <si>
    <t>Silvia López Gutiérrez</t>
  </si>
  <si>
    <t>silvia.lópez@empresa.es</t>
  </si>
  <si>
    <t>672751830</t>
  </si>
  <si>
    <t>EMP8231</t>
  </si>
  <si>
    <t>Irene Muñoz Morales</t>
  </si>
  <si>
    <t>irene.muñoz@empresa.es</t>
  </si>
  <si>
    <t>695395781</t>
  </si>
  <si>
    <t>EMP3281</t>
  </si>
  <si>
    <t>Fernando Muñoz Sánchez</t>
  </si>
  <si>
    <t>fernando.muñoz@empresa.es</t>
  </si>
  <si>
    <t>688032908</t>
  </si>
  <si>
    <t>EMP3174</t>
  </si>
  <si>
    <t>Jorge Ruiz Cano</t>
  </si>
  <si>
    <t>693241540</t>
  </si>
  <si>
    <t>EMP8996</t>
  </si>
  <si>
    <t>Beatriz Iglesias García</t>
  </si>
  <si>
    <t>beatriz.igles@empresa.es</t>
  </si>
  <si>
    <t>645332729</t>
  </si>
  <si>
    <t>EMP8951</t>
  </si>
  <si>
    <t>Alejandro Guerrero Calvo</t>
  </si>
  <si>
    <t>alejandro.guerr@empresa.com</t>
  </si>
  <si>
    <t>636778269</t>
  </si>
  <si>
    <t>EMP6905</t>
  </si>
  <si>
    <t>Carmen Pérez Gil</t>
  </si>
  <si>
    <t>carmen.pérez@empresa.com</t>
  </si>
  <si>
    <t>617810664</t>
  </si>
  <si>
    <t>EMP8291</t>
  </si>
  <si>
    <t>Laura García Lozano</t>
  </si>
  <si>
    <t>laura.garcí@empresa.com</t>
  </si>
  <si>
    <t>617870584</t>
  </si>
  <si>
    <t>EMP9691</t>
  </si>
  <si>
    <t>Eva García Garrido</t>
  </si>
  <si>
    <t>eva.garcí@empresa.com</t>
  </si>
  <si>
    <t>679131271</t>
  </si>
  <si>
    <t>EMP8035</t>
  </si>
  <si>
    <t>Beatriz Jiménez Romero</t>
  </si>
  <si>
    <t>beatriz.jimén@empresa.es</t>
  </si>
  <si>
    <t>686727439</t>
  </si>
  <si>
    <t>EMP4921</t>
  </si>
  <si>
    <t>Diego Serrano Fernández</t>
  </si>
  <si>
    <t>diego.serra@empresa.com</t>
  </si>
  <si>
    <t>601851322</t>
  </si>
  <si>
    <t>EMP1652</t>
  </si>
  <si>
    <t>Javier Blanco Ortiz</t>
  </si>
  <si>
    <t>javier.blanc@empresa.com</t>
  </si>
  <si>
    <t>620854365</t>
  </si>
  <si>
    <t>EMP2083</t>
  </si>
  <si>
    <t>Antonio Lozano Morales</t>
  </si>
  <si>
    <t>antonio.lozan@empresa.com</t>
  </si>
  <si>
    <t>621989243</t>
  </si>
  <si>
    <t>EMP9568</t>
  </si>
  <si>
    <t>Marcos Herrera Alonso</t>
  </si>
  <si>
    <t>marcos.herre@empresa.com</t>
  </si>
  <si>
    <t>666591799</t>
  </si>
  <si>
    <t>EMP6900</t>
  </si>
  <si>
    <t>Javier Delgado Núñez</t>
  </si>
  <si>
    <t>javier.delga@empresa.com</t>
  </si>
  <si>
    <t>663319171</t>
  </si>
  <si>
    <t>EMP3458</t>
  </si>
  <si>
    <t>David López Sanz</t>
  </si>
  <si>
    <t>david.lópez@empresa.com</t>
  </si>
  <si>
    <t>653811222</t>
  </si>
  <si>
    <t>EMP5625</t>
  </si>
  <si>
    <t>Tomás Torres Domínguez</t>
  </si>
  <si>
    <t>tomas.torre@empresa.com</t>
  </si>
  <si>
    <t>620208677</t>
  </si>
  <si>
    <t>EMP1391</t>
  </si>
  <si>
    <t>Lucía Marín Ramos</t>
  </si>
  <si>
    <t>lucia.marín@empresa.es</t>
  </si>
  <si>
    <t>612485824</t>
  </si>
  <si>
    <t>EMP9515</t>
  </si>
  <si>
    <t>Verónica Lozano Gil</t>
  </si>
  <si>
    <t>veronica.lozan@empresa.es</t>
  </si>
  <si>
    <t>652741214</t>
  </si>
  <si>
    <t>EMP8417</t>
  </si>
  <si>
    <t>Rubén Álvarez González</t>
  </si>
  <si>
    <t>ruben.álvar@empresa.com</t>
  </si>
  <si>
    <t>635568761</t>
  </si>
  <si>
    <t>EMP3582</t>
  </si>
  <si>
    <t>Roberto Torres Cano</t>
  </si>
  <si>
    <t>roberto.torre@empresa.com</t>
  </si>
  <si>
    <t>660693413</t>
  </si>
  <si>
    <t>EMP8570</t>
  </si>
  <si>
    <t>Elena Jiménez Fernández</t>
  </si>
  <si>
    <t>Elena</t>
  </si>
  <si>
    <t>elena.jimén@empresa.com</t>
  </si>
  <si>
    <t>686702893</t>
  </si>
  <si>
    <t>EMP3110</t>
  </si>
  <si>
    <t>Pedro Vázquez Fernández</t>
  </si>
  <si>
    <t>pedro.vázqu@empresa.com</t>
  </si>
  <si>
    <t>625118997</t>
  </si>
  <si>
    <t>EMP8307</t>
  </si>
  <si>
    <t>Miguel López Garrido</t>
  </si>
  <si>
    <t>miguel.lópez@empresa.com</t>
  </si>
  <si>
    <t>684658420</t>
  </si>
  <si>
    <t>EMP6883</t>
  </si>
  <si>
    <t>Alicia Marín Delgado</t>
  </si>
  <si>
    <t>alicia.marín@empresa.es</t>
  </si>
  <si>
    <t>678381665</t>
  </si>
  <si>
    <t>EMP2640</t>
  </si>
  <si>
    <t>Jorge Cortés Romero</t>
  </si>
  <si>
    <t>jorge.corté@empresa.com</t>
  </si>
  <si>
    <t>675579195</t>
  </si>
  <si>
    <t>EMP9064</t>
  </si>
  <si>
    <t>Irene Torres Díaz</t>
  </si>
  <si>
    <t>irene.torre@empresa.es</t>
  </si>
  <si>
    <t>607993466</t>
  </si>
  <si>
    <t>EMP3320</t>
  </si>
  <si>
    <t>Tomás Fernández Rubio</t>
  </si>
  <si>
    <t>tomas.ferná@empresa.es</t>
  </si>
  <si>
    <t>629962391</t>
  </si>
  <si>
    <t>EMP5825</t>
  </si>
  <si>
    <t>Patricia Díaz Herrera</t>
  </si>
  <si>
    <t>patricia.díaz@empresa.com</t>
  </si>
  <si>
    <t>631943272</t>
  </si>
  <si>
    <t>EMP3750</t>
  </si>
  <si>
    <t>Pilar Pérez Cano</t>
  </si>
  <si>
    <t>pilar.pérez@empresa.com</t>
  </si>
  <si>
    <t>622325567</t>
  </si>
  <si>
    <t>EMP6754</t>
  </si>
  <si>
    <t>Irene Serrano Rodríguez</t>
  </si>
  <si>
    <t>irene.serra@empresa.com</t>
  </si>
  <si>
    <t>650393104</t>
  </si>
  <si>
    <t>EMP2228</t>
  </si>
  <si>
    <t>Víctor Pérez Vázquez</t>
  </si>
  <si>
    <t>victor.pérez@empresa.com</t>
  </si>
  <si>
    <t>693576157</t>
  </si>
  <si>
    <t>EMP5612</t>
  </si>
  <si>
    <t>Antonio Romero Rodríguez</t>
  </si>
  <si>
    <t>antonio.romer@empresa.es</t>
  </si>
  <si>
    <t>610997276</t>
  </si>
  <si>
    <t>EMP2892</t>
  </si>
  <si>
    <t>Antonio Blanco Castro</t>
  </si>
  <si>
    <t>antonio.blanc@empresa.com</t>
  </si>
  <si>
    <t>635353058</t>
  </si>
  <si>
    <t>EMP5400</t>
  </si>
  <si>
    <t>Eva Sánchez Ruiz</t>
  </si>
  <si>
    <t>eva.sánch@empresa.com</t>
  </si>
  <si>
    <t>663922841</t>
  </si>
  <si>
    <t>EMP7468</t>
  </si>
  <si>
    <t>Eduardo López Ortiz</t>
  </si>
  <si>
    <t>eduardo.lópez@empresa.com</t>
  </si>
  <si>
    <t>679865944</t>
  </si>
  <si>
    <t>EMP2097</t>
  </si>
  <si>
    <t>Pedro Serrano Sanz</t>
  </si>
  <si>
    <t>pedro.serra@empresa.com</t>
  </si>
  <si>
    <t>676046949</t>
  </si>
  <si>
    <t>EMP2654</t>
  </si>
  <si>
    <t>Silvia Marín Ramos</t>
  </si>
  <si>
    <t>silvia.marín@empresa.com</t>
  </si>
  <si>
    <t>606615722</t>
  </si>
  <si>
    <t>EMP1331</t>
  </si>
  <si>
    <t>Alejandro Torres Torres</t>
  </si>
  <si>
    <t>alejandro.torre@empresa.com</t>
  </si>
  <si>
    <t>628372352</t>
  </si>
  <si>
    <t>EMP8937</t>
  </si>
  <si>
    <t>Lorena Rubio Gil</t>
  </si>
  <si>
    <t>lorena.rubio@empresa.com</t>
  </si>
  <si>
    <t>661263503</t>
  </si>
  <si>
    <t>EMP4262</t>
  </si>
  <si>
    <t>Rubén Gil Ortega</t>
  </si>
  <si>
    <t>ruben.gil@empresa.com</t>
  </si>
  <si>
    <t>638261364</t>
  </si>
  <si>
    <t>EMP1813</t>
  </si>
  <si>
    <t>Isabel Núñez Reyes</t>
  </si>
  <si>
    <t>isabel.núñez@empresa.es</t>
  </si>
  <si>
    <t>681650533</t>
  </si>
  <si>
    <t>EMP5511</t>
  </si>
  <si>
    <t>Iván Serrano Ramos</t>
  </si>
  <si>
    <t>ivan.serra@empresa.com</t>
  </si>
  <si>
    <t>664657836</t>
  </si>
  <si>
    <t>EMP5529</t>
  </si>
  <si>
    <t>Pilar Domínguez Gutiérrez</t>
  </si>
  <si>
    <t>pilar.domín@empresa.es</t>
  </si>
  <si>
    <t>634819604</t>
  </si>
  <si>
    <t>EMP7361</t>
  </si>
  <si>
    <t>Francisco López Iglesias</t>
  </si>
  <si>
    <t>francisco.lópez@empresa.com</t>
  </si>
  <si>
    <t>699444450</t>
  </si>
  <si>
    <t>EMP3999</t>
  </si>
  <si>
    <t>Roberto Vázquez Castillo</t>
  </si>
  <si>
    <t>roberto.vázqu@empresa.com</t>
  </si>
  <si>
    <t>685147289</t>
  </si>
  <si>
    <t>EMP4187</t>
  </si>
  <si>
    <t>Sandra Fernández Guerrero</t>
  </si>
  <si>
    <t>sandra.ferná@empresa.com</t>
  </si>
  <si>
    <t>665441993</t>
  </si>
  <si>
    <t>EMP3897</t>
  </si>
  <si>
    <t>Beatriz Santos Sánchez</t>
  </si>
  <si>
    <t>beatriz.santo@empresa.com</t>
  </si>
  <si>
    <t>657582820</t>
  </si>
  <si>
    <t>EMP1076</t>
  </si>
  <si>
    <t>Marta Marín Moreno</t>
  </si>
  <si>
    <t>Marta</t>
  </si>
  <si>
    <t>marta.marín@empresa.com</t>
  </si>
  <si>
    <t>667556678</t>
  </si>
  <si>
    <t>EMP2069</t>
  </si>
  <si>
    <t>Marta Torres Navarro</t>
  </si>
  <si>
    <t>marta.torre@empresa.com</t>
  </si>
  <si>
    <t>630107903</t>
  </si>
  <si>
    <t>EMP1359</t>
  </si>
  <si>
    <t>Alberto Ortiz Hernández</t>
  </si>
  <si>
    <t>Jefe de Almacén</t>
  </si>
  <si>
    <t>alberto.ortiz@empresa.com</t>
  </si>
  <si>
    <t>655938669</t>
  </si>
  <si>
    <t>EMP3024</t>
  </si>
  <si>
    <t>Víctor Alonso Castro</t>
  </si>
  <si>
    <t>victor.alons@empresa.com</t>
  </si>
  <si>
    <t>614262473</t>
  </si>
  <si>
    <t>EMP4272</t>
  </si>
  <si>
    <t>Tomás Alonso Rubio</t>
  </si>
  <si>
    <t>tomas.alons@empresa.com</t>
  </si>
  <si>
    <t>677061479</t>
  </si>
  <si>
    <t>EMP2475</t>
  </si>
  <si>
    <t>Tomás Ortiz González</t>
  </si>
  <si>
    <t>tomas.ortiz@empresa.es</t>
  </si>
  <si>
    <t>657176108</t>
  </si>
  <si>
    <t>EMP1751</t>
  </si>
  <si>
    <t>Laura Jiménez Cortés</t>
  </si>
  <si>
    <t>laura.jimén@empresa.com</t>
  </si>
  <si>
    <t>661275585</t>
  </si>
  <si>
    <t>EMP7319</t>
  </si>
  <si>
    <t>Virginia Castro Molina</t>
  </si>
  <si>
    <t>virginia.castr@empresa.com</t>
  </si>
  <si>
    <t>691867220</t>
  </si>
  <si>
    <t>EMP8997</t>
  </si>
  <si>
    <t>Sergio Molina Suárez</t>
  </si>
  <si>
    <t>sergio.molin@empresa.com</t>
  </si>
  <si>
    <t>664683506</t>
  </si>
  <si>
    <t>EMP7305</t>
  </si>
  <si>
    <t>Miguel Sanz Garrido</t>
  </si>
  <si>
    <t>miguel.sanz@empresa.com</t>
  </si>
  <si>
    <t>673886264</t>
  </si>
  <si>
    <t>EMP4850</t>
  </si>
  <si>
    <t>Pedro Ortega Suárez</t>
  </si>
  <si>
    <t>pedro.orteg@empresa.es</t>
  </si>
  <si>
    <t>668227936</t>
  </si>
  <si>
    <t>EMP8474</t>
  </si>
  <si>
    <t>Alejandro Gil Sánchez</t>
  </si>
  <si>
    <t>alejandro.gil@empresa.es</t>
  </si>
  <si>
    <t>673509785</t>
  </si>
  <si>
    <t>EMP2741</t>
  </si>
  <si>
    <t>Marta Hernández Delgado</t>
  </si>
  <si>
    <t>marta.herná@empresa.com</t>
  </si>
  <si>
    <t>684992096</t>
  </si>
  <si>
    <t>EMP8381</t>
  </si>
  <si>
    <t>Andrés Cortés Iglesias</t>
  </si>
  <si>
    <t>andres.corté@empresa.com</t>
  </si>
  <si>
    <t>651996696</t>
  </si>
  <si>
    <t>EMP7302</t>
  </si>
  <si>
    <t>Verónica Medina Lozano</t>
  </si>
  <si>
    <t>veronica.medin@empresa.com</t>
  </si>
  <si>
    <t>626962876</t>
  </si>
  <si>
    <t>EMP5760</t>
  </si>
  <si>
    <t>Roberto Ramos Guerrero</t>
  </si>
  <si>
    <t>roberto.ramos@empresa.com</t>
  </si>
  <si>
    <t>603391969</t>
  </si>
  <si>
    <t>EMP1869</t>
  </si>
  <si>
    <t>Teresa Sánchez Moreno</t>
  </si>
  <si>
    <t>teresa.sánch@empresa.com</t>
  </si>
  <si>
    <t>699644950</t>
  </si>
  <si>
    <t>EMP9370</t>
  </si>
  <si>
    <t>Virginia Navarro Lozano</t>
  </si>
  <si>
    <t>virginia.navar@empresa.es</t>
  </si>
  <si>
    <t>678971743</t>
  </si>
  <si>
    <t>EMP4170</t>
  </si>
  <si>
    <t>Silvia Suárez Díaz</t>
  </si>
  <si>
    <t>silvia.suáre@empresa.com</t>
  </si>
  <si>
    <t>605360735</t>
  </si>
  <si>
    <t>EMP1833</t>
  </si>
  <si>
    <t>Tomás Santos Garrido</t>
  </si>
  <si>
    <t>tomas.santo@empresa.es</t>
  </si>
  <si>
    <t>629688703</t>
  </si>
  <si>
    <t>EMP6437</t>
  </si>
  <si>
    <t>Alejandro Gil Navarro</t>
  </si>
  <si>
    <t>672509424</t>
  </si>
  <si>
    <t>EMP9468</t>
  </si>
  <si>
    <t>Tomás Gil Ortiz</t>
  </si>
  <si>
    <t>tomas.gil@empresa.com</t>
  </si>
  <si>
    <t>613948820</t>
  </si>
  <si>
    <t>EMP8130</t>
  </si>
  <si>
    <t>Manuel González Mendoza</t>
  </si>
  <si>
    <t>Manuel</t>
  </si>
  <si>
    <t>manuel.gonzá@empresa.com</t>
  </si>
  <si>
    <t>684586329</t>
  </si>
  <si>
    <t>EMP1276</t>
  </si>
  <si>
    <t>Nuria Guerrero Fernández</t>
  </si>
  <si>
    <t>nuria.guerr@empresa.com</t>
  </si>
  <si>
    <t>651192463</t>
  </si>
  <si>
    <t>EMP1504</t>
  </si>
  <si>
    <t>Alicia Hernández Marín</t>
  </si>
  <si>
    <t>alicia.herná@empresa.com</t>
  </si>
  <si>
    <t>672095327</t>
  </si>
  <si>
    <t>EMP4441</t>
  </si>
  <si>
    <t>Francisco Mendoza Herrera</t>
  </si>
  <si>
    <t>francisco.mendo@empresa.com</t>
  </si>
  <si>
    <t>686526748</t>
  </si>
  <si>
    <t>EMP2103</t>
  </si>
  <si>
    <t>Carmen Rodríguez Moreno</t>
  </si>
  <si>
    <t>carmen.rodrí@empresa.es</t>
  </si>
  <si>
    <t>693074374</t>
  </si>
  <si>
    <t>EMP6971</t>
  </si>
  <si>
    <t>Beatriz Morales Hernández</t>
  </si>
  <si>
    <t>beatriz.moral@empresa.es</t>
  </si>
  <si>
    <t>640999730</t>
  </si>
  <si>
    <t>EMP2783</t>
  </si>
  <si>
    <t>David Castillo Medina</t>
  </si>
  <si>
    <t>david.casti@empresa.com</t>
  </si>
  <si>
    <t>604919926</t>
  </si>
  <si>
    <t>EMP9842</t>
  </si>
  <si>
    <t>Alicia Castillo Reyes</t>
  </si>
  <si>
    <t>alicia.casti@empresa.com</t>
  </si>
  <si>
    <t>688943201</t>
  </si>
  <si>
    <t>EMP3717</t>
  </si>
  <si>
    <t>Lorena Ortiz Jiménez</t>
  </si>
  <si>
    <t>lorena.ortiz@empresa.es</t>
  </si>
  <si>
    <t>631409454</t>
  </si>
  <si>
    <t>EMP4387</t>
  </si>
  <si>
    <t>Marcos Gil Serrano</t>
  </si>
  <si>
    <t>marcos.gil@empresa.com</t>
  </si>
  <si>
    <t>649029303</t>
  </si>
  <si>
    <t>EMP5121</t>
  </si>
  <si>
    <t>Nuria Álvarez Rubio</t>
  </si>
  <si>
    <t>nuria.álvar@empresa.es</t>
  </si>
  <si>
    <t>628389345</t>
  </si>
  <si>
    <t>EMP3578</t>
  </si>
  <si>
    <t>Pablo Medina Cano</t>
  </si>
  <si>
    <t>pablo.medin@empresa.com</t>
  </si>
  <si>
    <t>632704875</t>
  </si>
  <si>
    <t>EMP3639</t>
  </si>
  <si>
    <t>Patricia Santos Ortiz</t>
  </si>
  <si>
    <t>patricia.santo@empresa.com</t>
  </si>
  <si>
    <t>664648438</t>
  </si>
  <si>
    <t>EMP3338</t>
  </si>
  <si>
    <t>Alberto Reyes Díaz</t>
  </si>
  <si>
    <t>alberto.reyes@empresa.com</t>
  </si>
  <si>
    <t>623813202</t>
  </si>
  <si>
    <t>EMP1639</t>
  </si>
  <si>
    <t>Irene Ortiz Calvo</t>
  </si>
  <si>
    <t>irene.ortiz@empresa.com</t>
  </si>
  <si>
    <t>630801123</t>
  </si>
  <si>
    <t>⚠️  Columnas con fondo AMARILLO en cabecera = columnas sucias / redundantes / a eliminar en Power Query</t>
  </si>
  <si>
    <t>No especificado</t>
  </si>
  <si>
    <t>ID_Turno</t>
  </si>
  <si>
    <t>Fecha</t>
  </si>
  <si>
    <t>Mes_Ano</t>
  </si>
  <si>
    <t>Tipo_Turno</t>
  </si>
  <si>
    <t>Hora_Inicio</t>
  </si>
  <si>
    <t>Estado_Turno</t>
  </si>
  <si>
    <t>Horas_Teoricas</t>
  </si>
  <si>
    <t>Horas_Reales</t>
  </si>
  <si>
    <t>Desviacion_Horas</t>
  </si>
  <si>
    <t>Tarifa_Hora_EUR</t>
  </si>
  <si>
    <t>Coste_Real_EUR</t>
  </si>
  <si>
    <t>Validado_RRHH</t>
  </si>
  <si>
    <t>TUR10000</t>
  </si>
  <si>
    <t>2024-10</t>
  </si>
  <si>
    <t>Partido</t>
  </si>
  <si>
    <t>Completado</t>
  </si>
  <si>
    <t>TUR10001</t>
  </si>
  <si>
    <t>2024-08</t>
  </si>
  <si>
    <t>Noche</t>
  </si>
  <si>
    <t>TUR10002</t>
  </si>
  <si>
    <t>2024-09</t>
  </si>
  <si>
    <t>Mañana</t>
  </si>
  <si>
    <t>TUR10003</t>
  </si>
  <si>
    <t>Retraso</t>
  </si>
  <si>
    <t>TUR10004</t>
  </si>
  <si>
    <t>2024-11</t>
  </si>
  <si>
    <t>Ausencia Injustificada</t>
  </si>
  <si>
    <t>TUR10005</t>
  </si>
  <si>
    <t>2024-07</t>
  </si>
  <si>
    <t>Tarde</t>
  </si>
  <si>
    <t>TUR10006</t>
  </si>
  <si>
    <t>TUR10007</t>
  </si>
  <si>
    <t>2024-12</t>
  </si>
  <si>
    <t>TUR10008</t>
  </si>
  <si>
    <t>Pendiente</t>
  </si>
  <si>
    <t>TUR10009</t>
  </si>
  <si>
    <t>Ausencia Justificada</t>
  </si>
  <si>
    <t>TUR10010</t>
  </si>
  <si>
    <t>TUR10011</t>
  </si>
  <si>
    <t>TUR10012</t>
  </si>
  <si>
    <t>TUR10013</t>
  </si>
  <si>
    <t>TUR10014</t>
  </si>
  <si>
    <t>TUR10015</t>
  </si>
  <si>
    <t>TUR10016</t>
  </si>
  <si>
    <t>TUR10017</t>
  </si>
  <si>
    <t>TUR10018</t>
  </si>
  <si>
    <t>TUR10019</t>
  </si>
  <si>
    <t>TUR10020</t>
  </si>
  <si>
    <t>TUR10021</t>
  </si>
  <si>
    <t>TUR10022</t>
  </si>
  <si>
    <t>TUR10023</t>
  </si>
  <si>
    <t>TUR10024</t>
  </si>
  <si>
    <t>TUR10025</t>
  </si>
  <si>
    <t>TUR10026</t>
  </si>
  <si>
    <t>TUR10027</t>
  </si>
  <si>
    <t>TUR10028</t>
  </si>
  <si>
    <t>TUR10029</t>
  </si>
  <si>
    <t>TUR10030</t>
  </si>
  <si>
    <t>TUR10031</t>
  </si>
  <si>
    <t>TUR10032</t>
  </si>
  <si>
    <t>TUR10033</t>
  </si>
  <si>
    <t>TUR10034</t>
  </si>
  <si>
    <t>TUR10035</t>
  </si>
  <si>
    <t>TUR10036</t>
  </si>
  <si>
    <t>TUR10037</t>
  </si>
  <si>
    <t>TUR10038</t>
  </si>
  <si>
    <t>TUR10039</t>
  </si>
  <si>
    <t>TUR10040</t>
  </si>
  <si>
    <t>TUR10041</t>
  </si>
  <si>
    <t>TUR10042</t>
  </si>
  <si>
    <t>TUR10043</t>
  </si>
  <si>
    <t>TUR10044</t>
  </si>
  <si>
    <t>TUR10045</t>
  </si>
  <si>
    <t>TUR10046</t>
  </si>
  <si>
    <t>TUR10047</t>
  </si>
  <si>
    <t>TUR10048</t>
  </si>
  <si>
    <t>TUR10049</t>
  </si>
  <si>
    <t>TUR10050</t>
  </si>
  <si>
    <t>TUR10051</t>
  </si>
  <si>
    <t>TUR10052</t>
  </si>
  <si>
    <t>TUR10053</t>
  </si>
  <si>
    <t>TUR10054</t>
  </si>
  <si>
    <t>TUR10055</t>
  </si>
  <si>
    <t>TUR10056</t>
  </si>
  <si>
    <t>TUR10057</t>
  </si>
  <si>
    <t>TUR10058</t>
  </si>
  <si>
    <t>TUR10059</t>
  </si>
  <si>
    <t>TUR10060</t>
  </si>
  <si>
    <t>TUR10061</t>
  </si>
  <si>
    <t>TUR10062</t>
  </si>
  <si>
    <t>TUR10063</t>
  </si>
  <si>
    <t>TUR10064</t>
  </si>
  <si>
    <t>TUR10065</t>
  </si>
  <si>
    <t>TUR10066</t>
  </si>
  <si>
    <t>TUR10067</t>
  </si>
  <si>
    <t>TUR10068</t>
  </si>
  <si>
    <t>TUR10069</t>
  </si>
  <si>
    <t>TUR10070</t>
  </si>
  <si>
    <t>TUR10071</t>
  </si>
  <si>
    <t>TUR10072</t>
  </si>
  <si>
    <t>TUR10073</t>
  </si>
  <si>
    <t>TUR10074</t>
  </si>
  <si>
    <t>TUR10075</t>
  </si>
  <si>
    <t>TUR10076</t>
  </si>
  <si>
    <t>TUR10077</t>
  </si>
  <si>
    <t>TUR10078</t>
  </si>
  <si>
    <t>TUR10079</t>
  </si>
  <si>
    <t>TUR10080</t>
  </si>
  <si>
    <t>TUR10081</t>
  </si>
  <si>
    <t>TUR10082</t>
  </si>
  <si>
    <t>TUR10083</t>
  </si>
  <si>
    <t>TUR10084</t>
  </si>
  <si>
    <t>TUR10085</t>
  </si>
  <si>
    <t>TUR10086</t>
  </si>
  <si>
    <t>TUR10087</t>
  </si>
  <si>
    <t>TUR10088</t>
  </si>
  <si>
    <t>TUR10089</t>
  </si>
  <si>
    <t>TUR10090</t>
  </si>
  <si>
    <t>TUR10091</t>
  </si>
  <si>
    <t>TUR10092</t>
  </si>
  <si>
    <t>TUR10093</t>
  </si>
  <si>
    <t>TUR10094</t>
  </si>
  <si>
    <t>TUR10095</t>
  </si>
  <si>
    <t>TUR10096</t>
  </si>
  <si>
    <t>TUR10097</t>
  </si>
  <si>
    <t>TUR10098</t>
  </si>
  <si>
    <t>TUR10099</t>
  </si>
  <si>
    <t>TUR10100</t>
  </si>
  <si>
    <t>TUR10101</t>
  </si>
  <si>
    <t>TUR10102</t>
  </si>
  <si>
    <t>TUR10103</t>
  </si>
  <si>
    <t>TUR10104</t>
  </si>
  <si>
    <t>TUR10105</t>
  </si>
  <si>
    <t>TUR10106</t>
  </si>
  <si>
    <t>TUR10107</t>
  </si>
  <si>
    <t>TUR10108</t>
  </si>
  <si>
    <t>TUR10109</t>
  </si>
  <si>
    <t>TUR10110</t>
  </si>
  <si>
    <t>TUR10111</t>
  </si>
  <si>
    <t>TUR10112</t>
  </si>
  <si>
    <t>TUR10113</t>
  </si>
  <si>
    <t>TUR10114</t>
  </si>
  <si>
    <t>TUR10115</t>
  </si>
  <si>
    <t>TUR10116</t>
  </si>
  <si>
    <t>TUR10117</t>
  </si>
  <si>
    <t>TUR10118</t>
  </si>
  <si>
    <t>TUR10119</t>
  </si>
  <si>
    <t>TUR10120</t>
  </si>
  <si>
    <t>TUR10121</t>
  </si>
  <si>
    <t>TUR10122</t>
  </si>
  <si>
    <t>TUR10123</t>
  </si>
  <si>
    <t>TUR10124</t>
  </si>
  <si>
    <t>TUR10125</t>
  </si>
  <si>
    <t>TUR10126</t>
  </si>
  <si>
    <t>TUR10127</t>
  </si>
  <si>
    <t>TUR10128</t>
  </si>
  <si>
    <t>TUR10129</t>
  </si>
  <si>
    <t>TUR10130</t>
  </si>
  <si>
    <t>TUR10131</t>
  </si>
  <si>
    <t>TUR10132</t>
  </si>
  <si>
    <t>TUR10133</t>
  </si>
  <si>
    <t>TUR10134</t>
  </si>
  <si>
    <t>TUR10135</t>
  </si>
  <si>
    <t>TUR10136</t>
  </si>
  <si>
    <t>TUR10137</t>
  </si>
  <si>
    <t>TUR10138</t>
  </si>
  <si>
    <t>2025-01</t>
  </si>
  <si>
    <t>TUR10139</t>
  </si>
  <si>
    <t>TUR10140</t>
  </si>
  <si>
    <t>TUR10141</t>
  </si>
  <si>
    <t>TUR10142</t>
  </si>
  <si>
    <t>TUR10143</t>
  </si>
  <si>
    <t>TUR10144</t>
  </si>
  <si>
    <t>TUR10145</t>
  </si>
  <si>
    <t>TUR10146</t>
  </si>
  <si>
    <t>TUR10147</t>
  </si>
  <si>
    <t>TUR10148</t>
  </si>
  <si>
    <t>TUR10149</t>
  </si>
  <si>
    <t>TUR10150</t>
  </si>
  <si>
    <t>TUR10151</t>
  </si>
  <si>
    <t>TUR10152</t>
  </si>
  <si>
    <t>TUR10153</t>
  </si>
  <si>
    <t>TUR10154</t>
  </si>
  <si>
    <t>TUR10155</t>
  </si>
  <si>
    <t>TUR10156</t>
  </si>
  <si>
    <t>TUR10157</t>
  </si>
  <si>
    <t>TUR10158</t>
  </si>
  <si>
    <t>TUR10159</t>
  </si>
  <si>
    <t>TUR10160</t>
  </si>
  <si>
    <t>TUR10161</t>
  </si>
  <si>
    <t>TUR10162</t>
  </si>
  <si>
    <t>TUR10163</t>
  </si>
  <si>
    <t>TUR10164</t>
  </si>
  <si>
    <t>TUR10165</t>
  </si>
  <si>
    <t>TUR10166</t>
  </si>
  <si>
    <t>TUR10167</t>
  </si>
  <si>
    <t>TUR10168</t>
  </si>
  <si>
    <t>TUR10169</t>
  </si>
  <si>
    <t>TUR10170</t>
  </si>
  <si>
    <t>TUR10171</t>
  </si>
  <si>
    <t>TUR10172</t>
  </si>
  <si>
    <t>TUR10173</t>
  </si>
  <si>
    <t>TUR10174</t>
  </si>
  <si>
    <t>TUR10175</t>
  </si>
  <si>
    <t>TUR10176</t>
  </si>
  <si>
    <t>TUR10177</t>
  </si>
  <si>
    <t>TUR10178</t>
  </si>
  <si>
    <t>TUR10179</t>
  </si>
  <si>
    <t>TUR10180</t>
  </si>
  <si>
    <t>TUR10181</t>
  </si>
  <si>
    <t>TUR10182</t>
  </si>
  <si>
    <t>TUR10183</t>
  </si>
  <si>
    <t>TUR10184</t>
  </si>
  <si>
    <t>TUR10185</t>
  </si>
  <si>
    <t>TUR10186</t>
  </si>
  <si>
    <t>TUR10187</t>
  </si>
  <si>
    <t>TUR10188</t>
  </si>
  <si>
    <t>TUR10189</t>
  </si>
  <si>
    <t>TUR10190</t>
  </si>
  <si>
    <t>TUR10191</t>
  </si>
  <si>
    <t>TUR10192</t>
  </si>
  <si>
    <t>TUR10193</t>
  </si>
  <si>
    <t>TUR10194</t>
  </si>
  <si>
    <t>TUR10195</t>
  </si>
  <si>
    <t>TUR10196</t>
  </si>
  <si>
    <t>TUR10197</t>
  </si>
  <si>
    <t>TUR10198</t>
  </si>
  <si>
    <t>TUR10199</t>
  </si>
  <si>
    <t>TUR10200</t>
  </si>
  <si>
    <t>TUR10201</t>
  </si>
  <si>
    <t>TUR10202</t>
  </si>
  <si>
    <t>TUR10203</t>
  </si>
  <si>
    <t>TUR10204</t>
  </si>
  <si>
    <t>TUR10205</t>
  </si>
  <si>
    <t>TUR10206</t>
  </si>
  <si>
    <t>TUR10207</t>
  </si>
  <si>
    <t>TUR10208</t>
  </si>
  <si>
    <t>TUR10209</t>
  </si>
  <si>
    <t>TUR10210</t>
  </si>
  <si>
    <t>TUR10211</t>
  </si>
  <si>
    <t>TUR10212</t>
  </si>
  <si>
    <t>TUR10213</t>
  </si>
  <si>
    <t>TUR10214</t>
  </si>
  <si>
    <t>TUR10215</t>
  </si>
  <si>
    <t>TUR10216</t>
  </si>
  <si>
    <t>TUR10217</t>
  </si>
  <si>
    <t>TUR10218</t>
  </si>
  <si>
    <t>TUR10219</t>
  </si>
  <si>
    <t>TUR10220</t>
  </si>
  <si>
    <t>TUR10221</t>
  </si>
  <si>
    <t>TUR10222</t>
  </si>
  <si>
    <t>TUR10223</t>
  </si>
  <si>
    <t>TUR10224</t>
  </si>
  <si>
    <t>TUR10225</t>
  </si>
  <si>
    <t>TUR10226</t>
  </si>
  <si>
    <t>TUR10227</t>
  </si>
  <si>
    <t>TUR10228</t>
  </si>
  <si>
    <t>TUR10229</t>
  </si>
  <si>
    <t>TUR10230</t>
  </si>
  <si>
    <t>TUR10231</t>
  </si>
  <si>
    <t>TUR10232</t>
  </si>
  <si>
    <t>TUR10233</t>
  </si>
  <si>
    <t>TUR10234</t>
  </si>
  <si>
    <t>TUR10235</t>
  </si>
  <si>
    <t>TUR10236</t>
  </si>
  <si>
    <t>TUR10237</t>
  </si>
  <si>
    <t>TUR10238</t>
  </si>
  <si>
    <t>TUR10239</t>
  </si>
  <si>
    <t>Coste_Hora_Teorico</t>
  </si>
  <si>
    <t>Desviacion_Coste_EUR</t>
  </si>
  <si>
    <t>Fecha_Alta_Empleado</t>
  </si>
  <si>
    <t>Etiquetas de fila</t>
  </si>
  <si>
    <t>Total general</t>
  </si>
  <si>
    <t>Etiquetas de columna</t>
  </si>
  <si>
    <t>N Turnos</t>
  </si>
  <si>
    <t>Horas Teoricas</t>
  </si>
  <si>
    <t>Horas Reales</t>
  </si>
  <si>
    <t>Desviacion</t>
  </si>
  <si>
    <t>Coste EUR</t>
  </si>
  <si>
    <t>Turnos</t>
  </si>
  <si>
    <t>Horas Trabajadas</t>
  </si>
  <si>
    <t>RRHH — DASHBOARD DE TURNOS Y ASISTENCIA</t>
  </si>
  <si>
    <t>TOTAL TURNOS</t>
  </si>
  <si>
    <t>HORAS REALES</t>
  </si>
  <si>
    <t>COSTE TOTAL</t>
  </si>
  <si>
    <t>% AUSENCIAS</t>
  </si>
  <si>
    <t>Tipo</t>
  </si>
  <si>
    <t>Última actualización: 25/04/2026  15:42:06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</si>
</sst>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8"/>
      <color rgb="FFFFFFFF"/>
      <name val="Calibri"/>
      <family val="2"/>
      <scheme val="minor"/>
    </font>
    <font>
      <b/>
      <sz val="18"/>
      <color rgb="FF1F4E79"/>
      <name val="Calibri"/>
      <family val="2"/>
      <scheme val="minor"/>
    </font>
    <font>
      <b/>
      <sz val="18"/>
      <color rgb="FF375623"/>
      <name val="Calibri"/>
      <family val="2"/>
      <scheme val="minor"/>
    </font>
    <font>
      <b/>
      <sz val="18"/>
      <color rgb="FF833C0C"/>
      <name val="Calibri"/>
      <family val="2"/>
      <scheme val="minor"/>
    </font>
    <font>
      <b/>
      <sz val="18"/>
      <color rgb="FF951B1B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DCE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951B1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3" fontId="0" fillId="0" borderId="0" xfId="0" applyNumberFormat="1"/>
    <xf numFmtId="0" fontId="0" fillId="2" borderId="0" xfId="0" applyFill="1"/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3" fontId="4" fillId="5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3" fontId="6" fillId="5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5" fontId="7" fillId="5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[Automatización.xlsm]Análisis!TD_Asistencia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1F4E79"/>
                </a:solidFill>
              </a:defRPr>
            </a:pPr>
            <a:r>
              <a:rPr lang="es-ES"/>
              <a:t>Asistencia por Departamento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Análisis!$B$2:$B$3</c:f>
              <c:strCache>
                <c:ptCount val="1"/>
                <c:pt idx="0">
                  <c:v>Ausencia Injustificada</c:v>
                </c:pt>
              </c:strCache>
            </c:strRef>
          </c:tx>
          <c:invertIfNegative val="0"/>
          <c:cat>
            <c:strRef>
              <c:f>Análisis!$A$4:$A$12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Análisis!$B$4:$B$12</c:f>
              <c:numCache>
                <c:formatCode>General</c:formatCode>
                <c:ptCount val="8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69-467A-B476-D0F3F50F9456}"/>
            </c:ext>
          </c:extLst>
        </c:ser>
        <c:ser>
          <c:idx val="1"/>
          <c:order val="1"/>
          <c:tx>
            <c:strRef>
              <c:f>Análisis!$C$2:$C$3</c:f>
              <c:strCache>
                <c:ptCount val="1"/>
                <c:pt idx="0">
                  <c:v>Ausencia Justificada</c:v>
                </c:pt>
              </c:strCache>
            </c:strRef>
          </c:tx>
          <c:invertIfNegative val="0"/>
          <c:cat>
            <c:strRef>
              <c:f>Análisis!$A$4:$A$12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Análisis!$C$4:$C$12</c:f>
              <c:numCache>
                <c:formatCode>General</c:formatCode>
                <c:ptCount val="8"/>
                <c:pt idx="0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69-467A-B476-D0F3F50F9456}"/>
            </c:ext>
          </c:extLst>
        </c:ser>
        <c:ser>
          <c:idx val="2"/>
          <c:order val="2"/>
          <c:tx>
            <c:strRef>
              <c:f>Análisis!$D$2:$D$3</c:f>
              <c:strCache>
                <c:ptCount val="1"/>
                <c:pt idx="0">
                  <c:v>Completado</c:v>
                </c:pt>
              </c:strCache>
            </c:strRef>
          </c:tx>
          <c:invertIfNegative val="0"/>
          <c:cat>
            <c:strRef>
              <c:f>Análisis!$A$4:$A$12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Análisis!$D$4:$D$12</c:f>
              <c:numCache>
                <c:formatCode>General</c:formatCode>
                <c:ptCount val="8"/>
                <c:pt idx="0">
                  <c:v>14</c:v>
                </c:pt>
                <c:pt idx="1">
                  <c:v>13</c:v>
                </c:pt>
                <c:pt idx="2">
                  <c:v>24</c:v>
                </c:pt>
                <c:pt idx="3">
                  <c:v>23</c:v>
                </c:pt>
                <c:pt idx="4">
                  <c:v>17</c:v>
                </c:pt>
                <c:pt idx="5">
                  <c:v>22</c:v>
                </c:pt>
                <c:pt idx="6">
                  <c:v>22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69-467A-B476-D0F3F50F9456}"/>
            </c:ext>
          </c:extLst>
        </c:ser>
        <c:ser>
          <c:idx val="3"/>
          <c:order val="3"/>
          <c:tx>
            <c:strRef>
              <c:f>Análisis!$E$2:$E$3</c:f>
              <c:strCache>
                <c:ptCount val="1"/>
                <c:pt idx="0">
                  <c:v>Retraso</c:v>
                </c:pt>
              </c:strCache>
            </c:strRef>
          </c:tx>
          <c:invertIfNegative val="0"/>
          <c:cat>
            <c:strRef>
              <c:f>Análisis!$A$4:$A$12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Análisis!$E$4:$E$12</c:f>
              <c:numCache>
                <c:formatCode>General</c:formatCode>
                <c:ptCount val="8"/>
                <c:pt idx="1">
                  <c:v>5</c:v>
                </c:pt>
                <c:pt idx="3">
                  <c:v>2</c:v>
                </c:pt>
                <c:pt idx="4">
                  <c:v>1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69-467A-B476-D0F3F50F9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5137903"/>
        <c:axId val="965138383"/>
      </c:barChart>
      <c:catAx>
        <c:axId val="9651379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965138383"/>
        <c:crosses val="autoZero"/>
        <c:auto val="1"/>
        <c:lblAlgn val="ctr"/>
        <c:lblOffset val="100"/>
        <c:noMultiLvlLbl val="0"/>
      </c:catAx>
      <c:valAx>
        <c:axId val="965138383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65137903"/>
        <c:crosses val="autoZero"/>
        <c:crossBetween val="between"/>
      </c:valAx>
      <c:spPr>
        <a:solidFill>
          <a:srgbClr val="FAFAFA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[Automatización.xlsm]Análisis!TD_Horas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375623"/>
                </a:solidFill>
              </a:defRPr>
            </a:pPr>
            <a:r>
              <a:rPr lang="es-ES"/>
              <a:t>Horas Reales vs Teóricas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Análisis!$J$2</c:f>
              <c:strCache>
                <c:ptCount val="1"/>
                <c:pt idx="0">
                  <c:v>Horas Teoricas</c:v>
                </c:pt>
              </c:strCache>
            </c:strRef>
          </c:tx>
          <c:invertIfNegative val="0"/>
          <c:cat>
            <c:strRef>
              <c:f>Análisis!$I$3:$I$11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Análisis!$J$3:$J$11</c:f>
              <c:numCache>
                <c:formatCode>#.##00</c:formatCode>
                <c:ptCount val="8"/>
                <c:pt idx="0">
                  <c:v>168</c:v>
                </c:pt>
                <c:pt idx="1">
                  <c:v>160</c:v>
                </c:pt>
                <c:pt idx="2">
                  <c:v>248</c:v>
                </c:pt>
                <c:pt idx="3">
                  <c:v>280</c:v>
                </c:pt>
                <c:pt idx="4">
                  <c:v>200</c:v>
                </c:pt>
                <c:pt idx="5">
                  <c:v>320</c:v>
                </c:pt>
                <c:pt idx="6">
                  <c:v>288</c:v>
                </c:pt>
                <c:pt idx="7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C-4711-A717-804577E06A5D}"/>
            </c:ext>
          </c:extLst>
        </c:ser>
        <c:ser>
          <c:idx val="1"/>
          <c:order val="1"/>
          <c:tx>
            <c:strRef>
              <c:f>Análisis!$K$2</c:f>
              <c:strCache>
                <c:ptCount val="1"/>
                <c:pt idx="0">
                  <c:v>Horas Reales</c:v>
                </c:pt>
              </c:strCache>
            </c:strRef>
          </c:tx>
          <c:invertIfNegative val="0"/>
          <c:cat>
            <c:strRef>
              <c:f>Análisis!$I$3:$I$11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Análisis!$K$3:$K$11</c:f>
              <c:numCache>
                <c:formatCode>#.##00</c:formatCode>
                <c:ptCount val="8"/>
                <c:pt idx="0">
                  <c:v>114.20000000000002</c:v>
                </c:pt>
                <c:pt idx="1">
                  <c:v>137.42999999999998</c:v>
                </c:pt>
                <c:pt idx="2">
                  <c:v>193.65000000000003</c:v>
                </c:pt>
                <c:pt idx="3">
                  <c:v>199.23999999999998</c:v>
                </c:pt>
                <c:pt idx="4">
                  <c:v>144.89000000000001</c:v>
                </c:pt>
                <c:pt idx="5">
                  <c:v>217.51000000000002</c:v>
                </c:pt>
                <c:pt idx="6">
                  <c:v>215.54999999999995</c:v>
                </c:pt>
                <c:pt idx="7">
                  <c:v>159.77000000000001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C-4711-A717-804577E06A5D}"/>
            </c:ext>
          </c:extLst>
        </c:ser>
        <c:ser>
          <c:idx val="2"/>
          <c:order val="2"/>
          <c:tx>
            <c:strRef>
              <c:f>Análisis!$L$2</c:f>
              <c:strCache>
                <c:ptCount val="1"/>
                <c:pt idx="0">
                  <c:v>Desviacion</c:v>
                </c:pt>
              </c:strCache>
            </c:strRef>
          </c:tx>
          <c:invertIfNegative val="0"/>
          <c:cat>
            <c:strRef>
              <c:f>Análisis!$I$3:$I$11</c:f>
              <c:strCache>
                <c:ptCount val="8"/>
                <c:pt idx="0">
                  <c:v>Administración</c:v>
                </c:pt>
                <c:pt idx="1">
                  <c:v>Almacén</c:v>
                </c:pt>
                <c:pt idx="2">
                  <c:v>Calidad</c:v>
                </c:pt>
                <c:pt idx="3">
                  <c:v>Comercial</c:v>
                </c:pt>
                <c:pt idx="4">
                  <c:v>IT</c:v>
                </c:pt>
                <c:pt idx="5">
                  <c:v>Logística</c:v>
                </c:pt>
                <c:pt idx="6">
                  <c:v>Producción</c:v>
                </c:pt>
                <c:pt idx="7">
                  <c:v>RRHH</c:v>
                </c:pt>
              </c:strCache>
            </c:strRef>
          </c:cat>
          <c:val>
            <c:numRef>
              <c:f>Análisis!$L$3:$L$11</c:f>
              <c:numCache>
                <c:formatCode>#.##00</c:formatCode>
                <c:ptCount val="8"/>
                <c:pt idx="0">
                  <c:v>-53.800000000000004</c:v>
                </c:pt>
                <c:pt idx="1">
                  <c:v>-22.570000000000004</c:v>
                </c:pt>
                <c:pt idx="2">
                  <c:v>-54.35</c:v>
                </c:pt>
                <c:pt idx="3">
                  <c:v>-80.760000000000005</c:v>
                </c:pt>
                <c:pt idx="4">
                  <c:v>-55.110000000000007</c:v>
                </c:pt>
                <c:pt idx="5">
                  <c:v>-102.49</c:v>
                </c:pt>
                <c:pt idx="6">
                  <c:v>-72.449999999999974</c:v>
                </c:pt>
                <c:pt idx="7">
                  <c:v>-96.22999999999999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C-4711-A717-804577E06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65142223"/>
        <c:axId val="965141743"/>
      </c:barChart>
      <c:catAx>
        <c:axId val="96514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5141743"/>
        <c:crosses val="autoZero"/>
        <c:auto val="1"/>
        <c:lblAlgn val="ctr"/>
        <c:lblOffset val="100"/>
        <c:noMultiLvlLbl val="0"/>
      </c:catAx>
      <c:valAx>
        <c:axId val="965141743"/>
        <c:scaling>
          <c:orientation val="minMax"/>
        </c:scaling>
        <c:delete val="0"/>
        <c:axPos val="l"/>
        <c:majorGridlines/>
        <c:numFmt formatCode="#.##00" sourceLinked="1"/>
        <c:majorTickMark val="out"/>
        <c:minorTickMark val="none"/>
        <c:tickLblPos val="nextTo"/>
        <c:crossAx val="965142223"/>
        <c:crosses val="autoZero"/>
        <c:crossBetween val="between"/>
      </c:valAx>
      <c:spPr>
        <a:solidFill>
          <a:srgbClr val="FAFAFA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[Automatización.xlsm]Análisis!TD_Costes</c:name>
    <c:fmtId val="0"/>
  </c:pivotSource>
  <c:chart>
    <c:title>
      <c:tx>
        <c:rich>
          <a:bodyPr/>
          <a:lstStyle/>
          <a:p>
            <a:pPr>
              <a:defRPr sz="1100" b="1">
                <a:solidFill>
                  <a:srgbClr val="833C0C"/>
                </a:solidFill>
              </a:defRPr>
            </a:pPr>
            <a:r>
              <a:rPr lang="es-ES"/>
              <a:t>Coste por Centro de Trabajo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Análisis!$S$2:$S$3</c:f>
              <c:strCache>
                <c:ptCount val="1"/>
                <c:pt idx="0">
                  <c:v>Mañana</c:v>
                </c:pt>
              </c:strCache>
            </c:strRef>
          </c:tx>
          <c:cat>
            <c:strRef>
              <c:f>Análisis!$R$4:$R$8</c:f>
              <c:strCache>
                <c:ptCount val="4"/>
                <c:pt idx="0">
                  <c:v>Barcelona - Oficina Comercial</c:v>
                </c:pt>
                <c:pt idx="1">
                  <c:v>Madrid - Delegación</c:v>
                </c:pt>
                <c:pt idx="2">
                  <c:v>Valencia - Sede Central</c:v>
                </c:pt>
                <c:pt idx="3">
                  <c:v>Xàtiva - Almacén Principal</c:v>
                </c:pt>
              </c:strCache>
            </c:strRef>
          </c:cat>
          <c:val>
            <c:numRef>
              <c:f>Análisis!$S$4:$S$8</c:f>
              <c:numCache>
                <c:formatCode>#,##0</c:formatCode>
                <c:ptCount val="4"/>
                <c:pt idx="0">
                  <c:v>2391.88</c:v>
                </c:pt>
                <c:pt idx="1">
                  <c:v>1653.76</c:v>
                </c:pt>
                <c:pt idx="2">
                  <c:v>1431.7700000000002</c:v>
                </c:pt>
                <c:pt idx="3">
                  <c:v>1643.6000000000001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F-4DE8-B61D-E408FA074007}"/>
            </c:ext>
          </c:extLst>
        </c:ser>
        <c:ser>
          <c:idx val="1"/>
          <c:order val="1"/>
          <c:tx>
            <c:strRef>
              <c:f>Análisis!$T$2:$T$3</c:f>
              <c:strCache>
                <c:ptCount val="1"/>
                <c:pt idx="0">
                  <c:v>Noche</c:v>
                </c:pt>
              </c:strCache>
            </c:strRef>
          </c:tx>
          <c:cat>
            <c:strRef>
              <c:f>Análisis!$R$4:$R$8</c:f>
              <c:strCache>
                <c:ptCount val="4"/>
                <c:pt idx="0">
                  <c:v>Barcelona - Oficina Comercial</c:v>
                </c:pt>
                <c:pt idx="1">
                  <c:v>Madrid - Delegación</c:v>
                </c:pt>
                <c:pt idx="2">
                  <c:v>Valencia - Sede Central</c:v>
                </c:pt>
                <c:pt idx="3">
                  <c:v>Xàtiva - Almacén Principal</c:v>
                </c:pt>
              </c:strCache>
            </c:strRef>
          </c:cat>
          <c:val>
            <c:numRef>
              <c:f>Análisis!$T$4:$T$8</c:f>
              <c:numCache>
                <c:formatCode>#,##0</c:formatCode>
                <c:ptCount val="4"/>
                <c:pt idx="0">
                  <c:v>1339.92</c:v>
                </c:pt>
                <c:pt idx="1">
                  <c:v>2214.92</c:v>
                </c:pt>
                <c:pt idx="2">
                  <c:v>1865.4100000000003</c:v>
                </c:pt>
                <c:pt idx="3">
                  <c:v>1046.78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F-4DE8-B61D-E408FA074007}"/>
            </c:ext>
          </c:extLst>
        </c:ser>
        <c:ser>
          <c:idx val="2"/>
          <c:order val="2"/>
          <c:tx>
            <c:strRef>
              <c:f>Análisis!$U$2:$U$3</c:f>
              <c:strCache>
                <c:ptCount val="1"/>
                <c:pt idx="0">
                  <c:v>Partido</c:v>
                </c:pt>
              </c:strCache>
            </c:strRef>
          </c:tx>
          <c:cat>
            <c:strRef>
              <c:f>Análisis!$R$4:$R$8</c:f>
              <c:strCache>
                <c:ptCount val="4"/>
                <c:pt idx="0">
                  <c:v>Barcelona - Oficina Comercial</c:v>
                </c:pt>
                <c:pt idx="1">
                  <c:v>Madrid - Delegación</c:v>
                </c:pt>
                <c:pt idx="2">
                  <c:v>Valencia - Sede Central</c:v>
                </c:pt>
                <c:pt idx="3">
                  <c:v>Xàtiva - Almacén Principal</c:v>
                </c:pt>
              </c:strCache>
            </c:strRef>
          </c:cat>
          <c:val>
            <c:numRef>
              <c:f>Análisis!$U$4:$U$8</c:f>
              <c:numCache>
                <c:formatCode>#,##0</c:formatCode>
                <c:ptCount val="4"/>
                <c:pt idx="0">
                  <c:v>1395.4699999999998</c:v>
                </c:pt>
                <c:pt idx="1">
                  <c:v>1445.2900000000002</c:v>
                </c:pt>
                <c:pt idx="2">
                  <c:v>1467.9599999999998</c:v>
                </c:pt>
                <c:pt idx="3">
                  <c:v>1604.1200000000001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5F-4DE8-B61D-E408FA074007}"/>
            </c:ext>
          </c:extLst>
        </c:ser>
        <c:ser>
          <c:idx val="3"/>
          <c:order val="3"/>
          <c:tx>
            <c:strRef>
              <c:f>Análisis!$V$2:$V$3</c:f>
              <c:strCache>
                <c:ptCount val="1"/>
                <c:pt idx="0">
                  <c:v>Tarde</c:v>
                </c:pt>
              </c:strCache>
            </c:strRef>
          </c:tx>
          <c:cat>
            <c:strRef>
              <c:f>Análisis!$R$4:$R$8</c:f>
              <c:strCache>
                <c:ptCount val="4"/>
                <c:pt idx="0">
                  <c:v>Barcelona - Oficina Comercial</c:v>
                </c:pt>
                <c:pt idx="1">
                  <c:v>Madrid - Delegación</c:v>
                </c:pt>
                <c:pt idx="2">
                  <c:v>Valencia - Sede Central</c:v>
                </c:pt>
                <c:pt idx="3">
                  <c:v>Xàtiva - Almacén Principal</c:v>
                </c:pt>
              </c:strCache>
            </c:strRef>
          </c:cat>
          <c:val>
            <c:numRef>
              <c:f>Análisis!$V$4:$V$8</c:f>
              <c:numCache>
                <c:formatCode>#,##0</c:formatCode>
                <c:ptCount val="4"/>
                <c:pt idx="0">
                  <c:v>1166.5700000000002</c:v>
                </c:pt>
                <c:pt idx="1">
                  <c:v>2386.5500000000002</c:v>
                </c:pt>
                <c:pt idx="2">
                  <c:v>1682.05</c:v>
                </c:pt>
                <c:pt idx="3">
                  <c:v>1319.66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5F-4DE8-B61D-E408FA074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AFAFA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solidFill>
                  <a:srgbClr val="3F3F76"/>
                </a:solidFill>
              </a:defRPr>
            </a:pPr>
            <a:r>
              <a:rPr lang="es-ES"/>
              <a:t>Distribución por Tipo de Turno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Dashboard!$U$1</c:f>
              <c:strCache>
                <c:ptCount val="1"/>
                <c:pt idx="0">
                  <c:v>Turnos</c:v>
                </c:pt>
              </c:strCache>
            </c:strRef>
          </c:tx>
          <c:cat>
            <c:strRef>
              <c:f>Dashboard!$T$2:$T$5</c:f>
              <c:strCache>
                <c:ptCount val="4"/>
                <c:pt idx="0">
                  <c:v>Mañana</c:v>
                </c:pt>
                <c:pt idx="1">
                  <c:v>Tarde</c:v>
                </c:pt>
                <c:pt idx="2">
                  <c:v>Noche</c:v>
                </c:pt>
                <c:pt idx="3">
                  <c:v>Partido</c:v>
                </c:pt>
              </c:strCache>
            </c:strRef>
          </c:cat>
          <c:val>
            <c:numRef>
              <c:f>Dashboard!$U$2:$U$5</c:f>
              <c:numCache>
                <c:formatCode>General</c:formatCode>
                <c:ptCount val="4"/>
                <c:pt idx="0">
                  <c:v>70</c:v>
                </c:pt>
                <c:pt idx="1">
                  <c:v>63</c:v>
                </c:pt>
                <c:pt idx="2">
                  <c:v>51</c:v>
                </c:pt>
                <c:pt idx="3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143-9E22-57C03382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AFAFA"/>
        </a:solidFill>
      </c:spPr>
    </c:plotArea>
    <c:legend>
      <c:legendPos val="b"/>
      <c:overlay val="0"/>
      <c:txPr>
        <a:bodyPr/>
        <a:lstStyle/>
        <a:p>
          <a:pPr>
            <a:defRPr sz="800"/>
          </a:pPr>
          <a:endParaRPr lang="es-E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6</xdr:col>
      <xdr:colOff>101600</xdr:colOff>
      <xdr:row>21</xdr:row>
      <xdr:rowOff>162560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E1E0BE1-0FA2-5F7C-2984-9A40AACEF9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14</xdr:col>
      <xdr:colOff>101600</xdr:colOff>
      <xdr:row>21</xdr:row>
      <xdr:rowOff>162560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D9C4FA-06B9-9CBC-820E-7234A73C00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23</xdr:row>
      <xdr:rowOff>0</xdr:rowOff>
    </xdr:from>
    <xdr:to>
      <xdr:col>6</xdr:col>
      <xdr:colOff>101600</xdr:colOff>
      <xdr:row>36</xdr:row>
      <xdr:rowOff>162560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DE2E4F5-D0EC-2F8A-4A09-F86C82510B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14</xdr:col>
      <xdr:colOff>101600</xdr:colOff>
      <xdr:row>36</xdr:row>
      <xdr:rowOff>162560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450CE5A-EDA6-F048-5B18-143B64593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17</xdr:col>
      <xdr:colOff>792479</xdr:colOff>
      <xdr:row>3</xdr:row>
      <xdr:rowOff>0</xdr:rowOff>
    </xdr:to>
    <xdr:sp macro="ActualizarTodo" textlink="">
      <xdr:nvSpPr>
        <xdr:cNvPr id="6" name="BtnActualizar">
          <a:extLst>
            <a:ext uri="{FF2B5EF4-FFF2-40B4-BE49-F238E27FC236}">
              <a16:creationId xmlns:a16="http://schemas.microsoft.com/office/drawing/2014/main" id="{97642E2B-460F-8E4E-7104-580CDC5E6E4F}"/>
            </a:ext>
          </a:extLst>
        </xdr:cNvPr>
        <xdr:cNvSpPr/>
      </xdr:nvSpPr>
      <xdr:spPr>
        <a:xfrm>
          <a:off x="11887200" y="182880"/>
          <a:ext cx="2377439" cy="640080"/>
        </a:xfrm>
        <a:prstGeom prst="roundRect">
          <a:avLst/>
        </a:prstGeom>
        <a:solidFill>
          <a:srgbClr val="1F4E7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>
              <a:solidFill>
                <a:srgbClr val="FFFFFF"/>
              </a:solidFill>
            </a:rPr>
            <a:t>Actualizar datos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Martínez Moltó" refreshedDate="46137.65423738426" createdVersion="8" refreshedVersion="8" minRefreshableVersion="3" recordCount="240" xr:uid="{99ED246F-8421-4A9C-AE9C-2ACC4FBC9B29}">
  <cacheSource type="worksheet">
    <worksheetSource ref="A1:X241" sheet="Turnos y empleados"/>
  </cacheSource>
  <cacheFields count="24">
    <cacheField name="ID_Turno" numFmtId="0">
      <sharedItems/>
    </cacheField>
    <cacheField name="ID_Empleado" numFmtId="0">
      <sharedItems/>
    </cacheField>
    <cacheField name="Nombre_Completo" numFmtId="0">
      <sharedItems count="148">
        <s v="Beatriz Morales Hernández"/>
        <s v="Carlos Mendoza Gutiérrez"/>
        <s v="Silvia Ortiz Cortés"/>
        <s v="Verónica Álvarez Suárez"/>
        <s v="Eva Garrido Cortés"/>
        <s v="Nuria Pérez Sanz"/>
        <s v="Marcos Garrido Hernández"/>
        <s v="Cristina Muñoz Cortés"/>
        <s v="Marcos Gil Serrano"/>
        <s v="Fernando Núñez Cano"/>
        <s v="Javier Ramos Castillo"/>
        <s v="Diego Pérez Calvo"/>
        <s v="Irene Ortiz Calvo"/>
        <s v="Roberto Castro González"/>
        <s v="Irene Reyes Rubio"/>
        <s v="Patricia Díaz Herrera"/>
        <s v="Víctor Hernández Alonso"/>
        <s v="Laura González Cano"/>
        <s v="Lorena Ortiz Jiménez"/>
        <s v="David López Sanz"/>
        <s v="Andrés Romero González"/>
        <s v="Pedro Vázquez Fernández"/>
        <s v="Nuria Alonso Ortega"/>
        <s v="Pilar Ortega Cano"/>
        <s v="Alicia Hernández Marín"/>
        <s v="Raúl Jiménez Cortés"/>
        <s v="Nuria Álvarez Rubio"/>
        <s v="Isabel Suárez Marín"/>
        <s v="Nuria Ortega Iglesias"/>
        <s v="Silvia Ortega Ortiz"/>
        <s v="Eva Muñoz González"/>
        <s v="Teresa Rodríguez Ramos"/>
        <s v="Víctor Alonso Castro"/>
        <s v="Alicia Álvarez Moreno"/>
        <s v="Teresa Delgado Rubio"/>
        <s v="Irene Guerrero Herrera"/>
        <s v="Laura Jiménez Cortés"/>
        <s v="Rocío Suárez López"/>
        <s v="Nuria Guerrero Fernández"/>
        <s v="Jorge Ruiz Castillo"/>
        <s v="Verónica Medina Lozano"/>
        <s v="Óscar Herrera Ortiz"/>
        <s v="Alejandro Domínguez Marín"/>
        <s v="Roberto Torres Cano"/>
        <s v="Pablo López Blanco"/>
        <s v="Alejandro Guerrero Calvo"/>
        <s v="Patricia Castro Cortés"/>
        <s v="Rosa Medina Ortiz"/>
        <s v="Ana Iglesias Lozano"/>
        <s v="Tomás Sánchez Castillo"/>
        <s v="Eva Navarro Lozano"/>
        <s v="Rocío Calvo Fernández"/>
        <s v="David Sánchez Alonso"/>
        <s v="Isabel Rubio Santos"/>
        <s v="Nuria Suárez Suárez"/>
        <s v="Silvia López Gutiérrez"/>
        <s v="Rubén Ruiz González"/>
        <s v="Verónica Lozano Gil"/>
        <s v="Laura García Lozano"/>
        <s v="Beatriz Cortés Rodríguez"/>
        <s v="Víctor García Sanz"/>
        <s v="Irene Muñoz Morales"/>
        <s v="Nuria Moreno Medina"/>
        <s v="Alberto Vázquez Rodríguez"/>
        <s v="Iván Ruiz Romero"/>
        <s v="Carlos Domínguez Hernández"/>
        <s v="Silvia Guerrero Marín"/>
        <s v="Miguel López Garrido"/>
        <s v="Francisco Mendoza Herrera"/>
        <s v="Isabel Alonso Castro"/>
        <s v="Francisco Serrano Domínguez"/>
        <s v="Roberto Mendoza Guerrero"/>
        <s v="Irene Serrano Rodríguez"/>
        <s v="Beatriz Iglesias García"/>
        <s v="Beatriz Jiménez Romero"/>
        <s v="Virginia Navarro Lozano"/>
        <s v="Miguel Sanz Garrido"/>
        <s v="Antonio Herrera Domínguez"/>
        <s v="Isabel Suárez Molina"/>
        <s v="Miguel Suárez González"/>
        <s v="Rubén Álvarez González"/>
        <s v="Fernando Vázquez Reyes"/>
        <s v="Pedro Álvarez Suárez"/>
        <s v="Pablo Alonso Mendoza"/>
        <s v="Patricia González Cano"/>
        <s v="Natalia Díaz Marín"/>
        <s v="Óscar Sánchez Ramos"/>
        <s v="Ana Cortés Santos"/>
        <s v="Jorge Ruiz Cano"/>
        <s v="Patricia Ortiz Navarro"/>
        <s v="Pablo Ortiz Álvarez"/>
        <s v="Tomás Molina Núñez"/>
        <s v="Isabel Núñez Romero"/>
        <s v="Isabel Domínguez Cano"/>
        <s v="Eva López Martínez"/>
        <s v="Jorge Ruiz Rodríguez"/>
        <s v="Isabel Blanco Guerrero"/>
        <s v="Sandra Ortega Romero"/>
        <s v="Eva Romero Delgado"/>
        <s v="Teresa Ruiz Cano"/>
        <s v="Pedro Ortega Suárez"/>
        <s v="Virginia Álvarez Torres"/>
        <s v="Eduardo Jiménez Rubio"/>
        <s v="Marta Hernández Delgado"/>
        <s v="Sandra Fernández Guerrero"/>
        <s v="Marcos Delgado Jiménez"/>
        <s v="Pedro Ortiz Suárez"/>
        <s v="Pedro Serrano Sanz"/>
        <s v="Alejandro Torres García"/>
        <s v="Alberto Ortiz Hernández"/>
        <s v="Isabel Castillo Garrido"/>
        <s v="Verónica Jiménez Santos"/>
        <s v="Elena Jiménez Fernández"/>
        <s v="Lucía Muñoz Lozano"/>
        <s v="Eva García Garrido"/>
        <s v="Tomás Domínguez Martínez"/>
        <s v="David Castillo Medina"/>
        <s v="Víctor Pérez Medina"/>
        <s v="Alejandro Suárez Vázquez"/>
        <s v="Eva Sánchez Ruiz"/>
        <s v="Alicia Rodríguez Navarro"/>
        <s v="Francisco López Iglesias"/>
        <s v="Raúl Martínez Mendoza"/>
        <s v="David Gil Lozano"/>
        <s v="Pilar Domínguez Gutiérrez"/>
        <s v="Fernando Muñoz Sánchez"/>
        <s v="Tomás Fernández Rubio"/>
        <s v="Diego Serrano Fernández"/>
        <s v="Marcos Herrera Alonso"/>
        <s v="Tomás Alonso Rubio"/>
        <s v="Alicia Marín Delgado"/>
        <s v="Iván Serrano Ramos"/>
        <s v="Víctor Pérez Vázquez"/>
        <s v="Eduardo López Ortiz"/>
        <s v="Silvia Suárez Díaz"/>
        <s v="Andrés Cortés Iglesias"/>
        <s v="Tomás Gil Ortiz"/>
        <s v="Virginia Castro Molina"/>
        <s v="Pablo Medina Cano"/>
        <s v="Patricia Santos Ortiz"/>
        <s v="Irene Mendoza Herrera"/>
        <s v="Eduardo Fernández Martínez"/>
        <s v="Fernando Suárez Suárez"/>
        <s v="Carmen Rodríguez Moreno"/>
        <s v="Antonio Ortega Castillo"/>
        <s v="Carmen Pérez Gil"/>
        <s v="Teresa Rodríguez Díaz"/>
        <s v="Patricia Serrano Romero"/>
      </sharedItems>
    </cacheField>
    <cacheField name="Departamento" numFmtId="0">
      <sharedItems count="8">
        <s v="Logística"/>
        <s v="Comercial"/>
        <s v="IT"/>
        <s v="RRHH"/>
        <s v="Producción"/>
        <s v="Calidad"/>
        <s v="Almacén"/>
        <s v="Administración"/>
      </sharedItems>
    </cacheField>
    <cacheField name="Cargo" numFmtId="0">
      <sharedItems/>
    </cacheField>
    <cacheField name="Centro_Trabajo" numFmtId="0">
      <sharedItems count="4">
        <s v="Xàtiva - Almacén Principal"/>
        <s v="Valencia - Sede Central"/>
        <s v="Madrid - Delegación"/>
        <s v="Barcelona - Oficina Comercial"/>
      </sharedItems>
    </cacheField>
    <cacheField name="Tipo_Contrato" numFmtId="0">
      <sharedItems count="4">
        <s v="Temporal"/>
        <s v="Indefinido"/>
        <s v="Prácticas"/>
        <s v="Obra y Servicio"/>
      </sharedItems>
    </cacheField>
    <cacheField name="Antiguedad_Anos" numFmtId="0">
      <sharedItems containsSemiMixedTypes="0" containsString="0" containsNumber="1" containsInteger="1" minValue="1" maxValue="6"/>
    </cacheField>
    <cacheField name="Sexo" numFmtId="0">
      <sharedItems/>
    </cacheField>
    <cacheField name="Fecha" numFmtId="14">
      <sharedItems containsSemiMixedTypes="0" containsNonDate="0" containsDate="1" containsString="0" minDate="2024-07-05T00:00:00" maxDate="2025-01-02T00:00:00"/>
    </cacheField>
    <cacheField name="Mes_Ano" numFmtId="0">
      <sharedItems/>
    </cacheField>
    <cacheField name="Tipo_Turno" numFmtId="0">
      <sharedItems count="4">
        <s v="Partido"/>
        <s v="Mañana"/>
        <s v="Noche"/>
        <s v="Tarde"/>
      </sharedItems>
    </cacheField>
    <cacheField name="Hora_Inicio" numFmtId="0">
      <sharedItems containsSemiMixedTypes="0" containsString="0" containsNumber="1" containsInteger="1" minValue="6" maxValue="22"/>
    </cacheField>
    <cacheField name="Estado_Turno" numFmtId="0">
      <sharedItems count="4">
        <s v="Completado"/>
        <s v="Ausencia Justificada"/>
        <s v="Ausencia Injustificada"/>
        <s v="Retraso"/>
      </sharedItems>
    </cacheField>
    <cacheField name="Horas_Teoricas" numFmtId="0">
      <sharedItems containsSemiMixedTypes="0" containsString="0" containsNumber="1" containsInteger="1" minValue="8" maxValue="8"/>
    </cacheField>
    <cacheField name="Horas_Reales" numFmtId="0">
      <sharedItems containsSemiMixedTypes="0" containsString="0" containsNumber="1" minValue="0" maxValue="8.5"/>
    </cacheField>
    <cacheField name="Desviacion_Horas" numFmtId="0">
      <sharedItems containsSemiMixedTypes="0" containsString="0" containsNumber="1" minValue="-8" maxValue="0.5"/>
    </cacheField>
    <cacheField name="Tarifa_Hora_EUR" numFmtId="0">
      <sharedItems containsSemiMixedTypes="0" containsString="0" containsNumber="1" minValue="10.61" maxValue="27.93"/>
    </cacheField>
    <cacheField name="Coste_Real_EUR" numFmtId="0">
      <sharedItems containsSemiMixedTypes="0" containsString="0" containsNumber="1" minValue="0" maxValue="229.13"/>
    </cacheField>
    <cacheField name="Coste_Hora_Teorico" numFmtId="0">
      <sharedItems containsSemiMixedTypes="0" containsString="0" containsNumber="1" minValue="8.73" maxValue="26.28"/>
    </cacheField>
    <cacheField name="Desviacion_Coste_EUR" numFmtId="0">
      <sharedItems containsSemiMixedTypes="0" containsString="0" containsNumber="1" minValue="-209.76" maxValue="125.42"/>
    </cacheField>
    <cacheField name="Salario_Anual_EUR" numFmtId="0">
      <sharedItems containsSemiMixedTypes="0" containsString="0" containsNumber="1" minValue="18164.650000000001" maxValue="54655.92"/>
    </cacheField>
    <cacheField name="Fecha_Alta_Empleado" numFmtId="14">
      <sharedItems containsSemiMixedTypes="0" containsNonDate="0" containsDate="1" containsString="0" minDate="2019-07-21T00:00:00" maxDate="2024-10-11T00:00:00"/>
    </cacheField>
    <cacheField name="Validado_RRH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0">
  <r>
    <s v="TUR10000"/>
    <s v="EMP6971"/>
    <x v="0"/>
    <x v="0"/>
    <s v="Técnico de Transporte"/>
    <x v="0"/>
    <x v="0"/>
    <n v="4"/>
    <s v="Masculino"/>
    <d v="2024-10-04T00:00:00"/>
    <s v="2024-10"/>
    <x v="0"/>
    <n v="8"/>
    <x v="0"/>
    <n v="8"/>
    <n v="8.35"/>
    <n v="0.35"/>
    <n v="17.95"/>
    <n v="149.88"/>
    <n v="21.32"/>
    <n v="-20.68"/>
    <n v="44351.37"/>
    <d v="2021-04-30T00:00:00"/>
    <s v="No"/>
  </r>
  <r>
    <s v="TUR10066"/>
    <s v="EMP2824"/>
    <x v="1"/>
    <x v="1"/>
    <s v="Comercial"/>
    <x v="0"/>
    <x v="1"/>
    <n v="6"/>
    <s v="Masculino"/>
    <d v="2024-10-21T00:00:00"/>
    <s v="2024-10"/>
    <x v="1"/>
    <n v="6"/>
    <x v="0"/>
    <n v="8"/>
    <n v="7.76"/>
    <n v="-0.24"/>
    <n v="10.61"/>
    <n v="82.33"/>
    <n v="20.69"/>
    <n v="-83.19"/>
    <n v="43037.88"/>
    <d v="2019-12-02T00:00:00"/>
    <s v="Sí"/>
  </r>
  <r>
    <s v="TUR10166"/>
    <s v="EMP2824"/>
    <x v="1"/>
    <x v="1"/>
    <s v="Comercial"/>
    <x v="0"/>
    <x v="1"/>
    <n v="6"/>
    <s v="Masculino"/>
    <d v="2024-07-09T00:00:00"/>
    <s v="2024-07"/>
    <x v="0"/>
    <n v="8"/>
    <x v="0"/>
    <n v="8"/>
    <n v="8.33"/>
    <n v="0.33"/>
    <n v="16.34"/>
    <n v="136.11000000000001"/>
    <n v="20.69"/>
    <n v="-29.41"/>
    <n v="43037.88"/>
    <d v="2019-12-02T00:00:00"/>
    <s v="No"/>
  </r>
  <r>
    <s v="TUR10001"/>
    <s v="EMP2389"/>
    <x v="2"/>
    <x v="2"/>
    <s v="Técnico Informático"/>
    <x v="0"/>
    <x v="2"/>
    <n v="2"/>
    <s v="Femenino"/>
    <d v="2024-08-01T00:00:00"/>
    <s v="2024-08"/>
    <x v="2"/>
    <n v="22"/>
    <x v="0"/>
    <n v="8"/>
    <n v="8.06"/>
    <n v="0.06"/>
    <n v="22.91"/>
    <n v="184.65"/>
    <n v="12.65"/>
    <n v="83.45"/>
    <n v="26311.7"/>
    <d v="2023-10-22T00:00:00"/>
    <s v="Sí"/>
  </r>
  <r>
    <s v="TUR10100"/>
    <s v="EMP2389"/>
    <x v="2"/>
    <x v="2"/>
    <s v="Técnico Informático"/>
    <x v="0"/>
    <x v="2"/>
    <n v="2"/>
    <s v="Femenino"/>
    <d v="2024-08-24T00:00:00"/>
    <s v="2024-08"/>
    <x v="0"/>
    <n v="8"/>
    <x v="0"/>
    <n v="8"/>
    <n v="8.4600000000000009"/>
    <n v="0.46"/>
    <n v="11.27"/>
    <n v="95.34"/>
    <n v="12.65"/>
    <n v="-5.86"/>
    <n v="26311.7"/>
    <d v="2023-10-22T00:00:00"/>
    <s v="No"/>
  </r>
  <r>
    <s v="TUR10149"/>
    <s v="EMP2389"/>
    <x v="2"/>
    <x v="2"/>
    <s v="Técnico Informático"/>
    <x v="0"/>
    <x v="2"/>
    <n v="2"/>
    <s v="Femenino"/>
    <d v="2024-08-25T00:00:00"/>
    <s v="2024-08"/>
    <x v="3"/>
    <n v="14"/>
    <x v="0"/>
    <n v="8"/>
    <n v="8.39"/>
    <n v="0.39"/>
    <n v="12.82"/>
    <n v="107.56"/>
    <n v="12.65"/>
    <n v="6.36"/>
    <n v="26311.7"/>
    <d v="2023-10-22T00:00:00"/>
    <s v="No"/>
  </r>
  <r>
    <s v="TUR10103"/>
    <s v="EMP9928"/>
    <x v="3"/>
    <x v="3"/>
    <s v="Técnico de RRHH"/>
    <x v="0"/>
    <x v="3"/>
    <n v="2"/>
    <s v="Masculino"/>
    <d v="2024-11-02T00:00:00"/>
    <s v="2024-11"/>
    <x v="0"/>
    <n v="8"/>
    <x v="1"/>
    <n v="8"/>
    <n v="0"/>
    <n v="-8"/>
    <n v="18.440000000000001"/>
    <n v="0"/>
    <n v="14.71"/>
    <n v="-117.68"/>
    <n v="30589.27"/>
    <d v="2024-01-19T00:00:00"/>
    <s v="Sí"/>
  </r>
  <r>
    <s v="TUR10104"/>
    <s v="EMP9928"/>
    <x v="3"/>
    <x v="3"/>
    <s v="Técnico de RRHH"/>
    <x v="0"/>
    <x v="3"/>
    <n v="2"/>
    <s v="Masculino"/>
    <d v="2024-08-14T00:00:00"/>
    <s v="2024-08"/>
    <x v="3"/>
    <n v="14"/>
    <x v="2"/>
    <n v="8"/>
    <n v="0"/>
    <n v="-8"/>
    <n v="11.36"/>
    <n v="0"/>
    <n v="14.71"/>
    <n v="-117.68"/>
    <n v="30589.27"/>
    <d v="2024-01-19T00:00:00"/>
    <s v="Sí"/>
  </r>
  <r>
    <s v="TUR10002"/>
    <s v="EMP8613"/>
    <x v="4"/>
    <x v="4"/>
    <s v="Técnico de Producción"/>
    <x v="1"/>
    <x v="3"/>
    <n v="2"/>
    <s v="Femenino"/>
    <d v="2024-09-27T00:00:00"/>
    <s v="2024-09"/>
    <x v="1"/>
    <n v="6"/>
    <x v="0"/>
    <n v="8"/>
    <n v="7.9"/>
    <n v="-0.1"/>
    <n v="16.84"/>
    <n v="133.04"/>
    <n v="23.79"/>
    <n v="-57.28"/>
    <n v="49485.25"/>
    <d v="2023-11-26T00:00:00"/>
    <s v="No"/>
  </r>
  <r>
    <s v="TUR10071"/>
    <s v="EMP8613"/>
    <x v="4"/>
    <x v="4"/>
    <s v="Técnico de Producción"/>
    <x v="1"/>
    <x v="3"/>
    <n v="2"/>
    <s v="Femenino"/>
    <d v="2024-07-18T00:00:00"/>
    <s v="2024-07"/>
    <x v="3"/>
    <n v="14"/>
    <x v="0"/>
    <n v="8"/>
    <n v="8.1999999999999993"/>
    <n v="0.2"/>
    <n v="11.45"/>
    <n v="93.89"/>
    <n v="23.79"/>
    <n v="-96.43"/>
    <n v="49485.25"/>
    <d v="2023-11-26T00:00:00"/>
    <s v="Sí"/>
  </r>
  <r>
    <s v="TUR10159"/>
    <s v="EMP8613"/>
    <x v="4"/>
    <x v="4"/>
    <s v="Técnico de Producción"/>
    <x v="1"/>
    <x v="3"/>
    <n v="2"/>
    <s v="Femenino"/>
    <d v="2024-07-31T00:00:00"/>
    <s v="2024-07"/>
    <x v="1"/>
    <n v="6"/>
    <x v="1"/>
    <n v="8"/>
    <n v="0"/>
    <n v="-8"/>
    <n v="26.18"/>
    <n v="0"/>
    <n v="23.79"/>
    <n v="-190.32"/>
    <n v="49485.25"/>
    <d v="2023-11-26T00:00:00"/>
    <s v="Sí"/>
  </r>
  <r>
    <s v="TUR10026"/>
    <s v="EMP3045"/>
    <x v="5"/>
    <x v="3"/>
    <s v="Gestor de Nóminas"/>
    <x v="2"/>
    <x v="0"/>
    <n v="1"/>
    <s v="Masculino"/>
    <d v="2024-09-16T00:00:00"/>
    <s v="2024-09"/>
    <x v="3"/>
    <n v="14"/>
    <x v="3"/>
    <n v="8"/>
    <n v="7.23"/>
    <n v="-0.77"/>
    <n v="24.24"/>
    <n v="175.26"/>
    <n v="21.19"/>
    <n v="5.74"/>
    <n v="44069.16"/>
    <d v="2024-08-31T00:00:00"/>
    <s v="No"/>
  </r>
  <r>
    <s v="TUR10039"/>
    <s v="EMP3045"/>
    <x v="5"/>
    <x v="3"/>
    <s v="Gestor de Nóminas"/>
    <x v="2"/>
    <x v="0"/>
    <n v="1"/>
    <s v="Masculino"/>
    <d v="2024-08-21T00:00:00"/>
    <s v="2024-08"/>
    <x v="1"/>
    <n v="6"/>
    <x v="0"/>
    <n v="8"/>
    <n v="8.32"/>
    <n v="0.32"/>
    <n v="15.52"/>
    <n v="129.13"/>
    <n v="21.19"/>
    <n v="-40.39"/>
    <n v="44069.16"/>
    <d v="2024-08-31T00:00:00"/>
    <s v="Sí"/>
  </r>
  <r>
    <s v="TUR10157"/>
    <s v="EMP3045"/>
    <x v="5"/>
    <x v="3"/>
    <s v="Gestor de Nóminas"/>
    <x v="2"/>
    <x v="0"/>
    <n v="1"/>
    <s v="Masculino"/>
    <d v="2024-12-15T00:00:00"/>
    <s v="2024-12"/>
    <x v="1"/>
    <n v="6"/>
    <x v="0"/>
    <n v="8"/>
    <n v="8.06"/>
    <n v="0.06"/>
    <n v="22.5"/>
    <n v="181.35"/>
    <n v="21.19"/>
    <n v="11.83"/>
    <n v="44069.16"/>
    <d v="2024-08-31T00:00:00"/>
    <s v="Sí"/>
  </r>
  <r>
    <s v="TUR10003"/>
    <s v="EMP9586"/>
    <x v="6"/>
    <x v="2"/>
    <s v="Analista de Sistemas"/>
    <x v="2"/>
    <x v="3"/>
    <n v="3"/>
    <s v="Femenino"/>
    <d v="2024-08-17T00:00:00"/>
    <s v="2024-08"/>
    <x v="2"/>
    <n v="22"/>
    <x v="3"/>
    <n v="8"/>
    <n v="6.37"/>
    <n v="-1.63"/>
    <n v="27.86"/>
    <n v="177.47"/>
    <n v="15.93"/>
    <n v="50.03"/>
    <n v="33124.47"/>
    <d v="2023-01-10T00:00:00"/>
    <s v="Sí"/>
  </r>
  <r>
    <s v="TUR10047"/>
    <s v="EMP9586"/>
    <x v="6"/>
    <x v="2"/>
    <s v="Analista de Sistemas"/>
    <x v="2"/>
    <x v="3"/>
    <n v="3"/>
    <s v="Femenino"/>
    <d v="2024-12-29T00:00:00"/>
    <s v="2024-12"/>
    <x v="0"/>
    <n v="8"/>
    <x v="0"/>
    <n v="8"/>
    <n v="8.48"/>
    <n v="0.48"/>
    <n v="24"/>
    <n v="203.52"/>
    <n v="15.93"/>
    <n v="76.08"/>
    <n v="33124.47"/>
    <d v="2023-01-10T00:00:00"/>
    <s v="Sí"/>
  </r>
  <r>
    <s v="TUR10158"/>
    <s v="EMP9586"/>
    <x v="6"/>
    <x v="2"/>
    <s v="Analista de Sistemas"/>
    <x v="2"/>
    <x v="3"/>
    <n v="3"/>
    <s v="Femenino"/>
    <d v="2024-12-24T00:00:00"/>
    <s v="2024-12"/>
    <x v="3"/>
    <n v="14"/>
    <x v="0"/>
    <n v="8"/>
    <n v="8.2100000000000009"/>
    <n v="0.21"/>
    <n v="27.13"/>
    <n v="222.74"/>
    <n v="15.93"/>
    <n v="95.3"/>
    <n v="33124.47"/>
    <d v="2023-01-10T00:00:00"/>
    <s v="Sí"/>
  </r>
  <r>
    <s v="TUR10150"/>
    <s v="EMP7065"/>
    <x v="7"/>
    <x v="3"/>
    <s v="Gestor de Nóminas"/>
    <x v="1"/>
    <x v="0"/>
    <n v="2"/>
    <s v="Femenino"/>
    <d v="2024-07-31T00:00:00"/>
    <s v="2024-07"/>
    <x v="1"/>
    <n v="6"/>
    <x v="1"/>
    <n v="8"/>
    <n v="0"/>
    <n v="-8"/>
    <n v="22.04"/>
    <n v="0"/>
    <n v="18.16"/>
    <n v="-145.28"/>
    <n v="37763.18"/>
    <d v="2023-07-20T00:00:00"/>
    <s v="Sí"/>
  </r>
  <r>
    <s v="TUR10004"/>
    <s v="EMP4387"/>
    <x v="8"/>
    <x v="5"/>
    <s v="Inspector de Calidad"/>
    <x v="1"/>
    <x v="1"/>
    <n v="3"/>
    <s v="Femenino"/>
    <d v="2024-11-17T00:00:00"/>
    <s v="2024-11"/>
    <x v="0"/>
    <n v="8"/>
    <x v="2"/>
    <n v="8"/>
    <n v="0"/>
    <n v="-8"/>
    <n v="14.94"/>
    <n v="0"/>
    <n v="26.1"/>
    <n v="-208.8"/>
    <n v="54281.82"/>
    <d v="2023-02-08T00:00:00"/>
    <s v="No"/>
  </r>
  <r>
    <s v="TUR10164"/>
    <s v="EMP2084"/>
    <x v="9"/>
    <x v="2"/>
    <s v="Técnico Informático"/>
    <x v="3"/>
    <x v="3"/>
    <n v="4"/>
    <s v="Masculino"/>
    <d v="2024-11-24T00:00:00"/>
    <s v="2024-11"/>
    <x v="0"/>
    <n v="8"/>
    <x v="0"/>
    <n v="8"/>
    <n v="8.23"/>
    <n v="0.23"/>
    <n v="15.16"/>
    <n v="124.77"/>
    <n v="24.39"/>
    <n v="-70.349999999999994"/>
    <n v="50733.279999999999"/>
    <d v="2021-04-26T00:00:00"/>
    <s v="No"/>
  </r>
  <r>
    <s v="TUR10005"/>
    <s v="EMP9120"/>
    <x v="10"/>
    <x v="4"/>
    <s v="Supervisor de Línea"/>
    <x v="2"/>
    <x v="3"/>
    <n v="3"/>
    <s v="Femenino"/>
    <d v="2024-07-17T00:00:00"/>
    <s v="2024-07"/>
    <x v="3"/>
    <n v="14"/>
    <x v="0"/>
    <n v="8"/>
    <n v="8.31"/>
    <n v="0.31"/>
    <n v="12.25"/>
    <n v="101.8"/>
    <n v="15.92"/>
    <n v="-25.56"/>
    <n v="33105.589999999997"/>
    <d v="2023-03-29T00:00:00"/>
    <s v="No"/>
  </r>
  <r>
    <s v="TUR10075"/>
    <s v="EMP9120"/>
    <x v="10"/>
    <x v="4"/>
    <s v="Supervisor de Línea"/>
    <x v="2"/>
    <x v="3"/>
    <n v="3"/>
    <s v="Femenino"/>
    <d v="2024-08-11T00:00:00"/>
    <s v="2024-08"/>
    <x v="3"/>
    <n v="14"/>
    <x v="0"/>
    <n v="8"/>
    <n v="8.5"/>
    <n v="0.5"/>
    <n v="14.74"/>
    <n v="125.29"/>
    <n v="15.92"/>
    <n v="-2.0699999999999998"/>
    <n v="33105.589999999997"/>
    <d v="2023-03-29T00:00:00"/>
    <s v="No"/>
  </r>
  <r>
    <s v="TUR10067"/>
    <s v="EMP9348"/>
    <x v="11"/>
    <x v="0"/>
    <s v="Coordinador Logístico"/>
    <x v="0"/>
    <x v="0"/>
    <n v="3"/>
    <s v="Masculino"/>
    <d v="2024-08-13T00:00:00"/>
    <s v="2024-08"/>
    <x v="2"/>
    <n v="22"/>
    <x v="0"/>
    <n v="8"/>
    <n v="8.17"/>
    <n v="0.17"/>
    <n v="12.15"/>
    <n v="99.27"/>
    <n v="22.74"/>
    <n v="-82.65"/>
    <n v="47306.94"/>
    <d v="2022-07-22T00:00:00"/>
    <s v="No"/>
  </r>
  <r>
    <s v="TUR10006"/>
    <s v="EMP1639"/>
    <x v="12"/>
    <x v="6"/>
    <s v="Mozo de Almacén"/>
    <x v="3"/>
    <x v="0"/>
    <n v="4"/>
    <s v="Masculino"/>
    <d v="2024-11-21T00:00:00"/>
    <s v="2024-11"/>
    <x v="1"/>
    <n v="6"/>
    <x v="3"/>
    <n v="8"/>
    <n v="5.57"/>
    <n v="-2.4300000000000002"/>
    <n v="24.91"/>
    <n v="138.75"/>
    <n v="24.7"/>
    <n v="-58.85"/>
    <n v="51373.440000000002"/>
    <d v="2021-11-24T00:00:00"/>
    <s v="No"/>
  </r>
  <r>
    <s v="TUR10079"/>
    <s v="EMP1639"/>
    <x v="12"/>
    <x v="6"/>
    <s v="Mozo de Almacén"/>
    <x v="3"/>
    <x v="0"/>
    <n v="4"/>
    <s v="Masculino"/>
    <d v="2024-10-15T00:00:00"/>
    <s v="2024-10"/>
    <x v="1"/>
    <n v="6"/>
    <x v="3"/>
    <n v="8"/>
    <n v="6.56"/>
    <n v="-1.44"/>
    <n v="23.45"/>
    <n v="153.83000000000001"/>
    <n v="24.7"/>
    <n v="-43.77"/>
    <n v="51373.440000000002"/>
    <d v="2021-11-24T00:00:00"/>
    <s v="Sí"/>
  </r>
  <r>
    <s v="TUR10007"/>
    <s v="EMP3500"/>
    <x v="13"/>
    <x v="6"/>
    <s v="Mozo de Almacén"/>
    <x v="1"/>
    <x v="3"/>
    <n v="5"/>
    <s v="Masculino"/>
    <d v="2024-12-12T00:00:00"/>
    <s v="2024-12"/>
    <x v="2"/>
    <n v="22"/>
    <x v="0"/>
    <n v="8"/>
    <n v="7.78"/>
    <n v="-0.22"/>
    <n v="21.24"/>
    <n v="165.25"/>
    <n v="10.37"/>
    <n v="82.29"/>
    <n v="21572.880000000001"/>
    <d v="2020-10-11T00:00:00"/>
    <s v="No"/>
  </r>
  <r>
    <s v="TUR10185"/>
    <s v="EMP3500"/>
    <x v="13"/>
    <x v="6"/>
    <s v="Mozo de Almacén"/>
    <x v="1"/>
    <x v="3"/>
    <n v="5"/>
    <s v="Masculino"/>
    <d v="2024-09-03T00:00:00"/>
    <s v="2024-09"/>
    <x v="1"/>
    <n v="6"/>
    <x v="0"/>
    <n v="8"/>
    <n v="8.11"/>
    <n v="0.11"/>
    <n v="14.28"/>
    <n v="115.81"/>
    <n v="10.37"/>
    <n v="32.85"/>
    <n v="21572.880000000001"/>
    <d v="2020-10-11T00:00:00"/>
    <s v="No"/>
  </r>
  <r>
    <s v="TUR10036"/>
    <s v="EMP3646"/>
    <x v="14"/>
    <x v="0"/>
    <s v="Gestor de Flota"/>
    <x v="2"/>
    <x v="3"/>
    <n v="6"/>
    <s v="Femenino"/>
    <d v="2024-07-16T00:00:00"/>
    <s v="2024-07"/>
    <x v="1"/>
    <n v="6"/>
    <x v="2"/>
    <n v="8"/>
    <n v="0"/>
    <n v="-8"/>
    <n v="18.68"/>
    <n v="0"/>
    <n v="9"/>
    <n v="-72"/>
    <n v="18720.64"/>
    <d v="2019-09-18T00:00:00"/>
    <s v="No"/>
  </r>
  <r>
    <s v="TUR10008"/>
    <s v="EMP5825"/>
    <x v="15"/>
    <x v="0"/>
    <s v="Gestor de Flota"/>
    <x v="3"/>
    <x v="1"/>
    <n v="3"/>
    <s v="Femenino"/>
    <d v="2024-11-18T00:00:00"/>
    <s v="2024-11"/>
    <x v="1"/>
    <n v="6"/>
    <x v="0"/>
    <n v="8"/>
    <n v="8.1199999999999992"/>
    <n v="0.12"/>
    <n v="25.38"/>
    <n v="206.09"/>
    <n v="11.89"/>
    <n v="110.97"/>
    <n v="24737.02"/>
    <d v="2023-02-20T00:00:00"/>
    <s v="Pendiente"/>
  </r>
  <r>
    <s v="TUR10009"/>
    <s v="EMP8787"/>
    <x v="16"/>
    <x v="4"/>
    <s v="Operario de Producción"/>
    <x v="0"/>
    <x v="2"/>
    <n v="5"/>
    <s v="Masculino"/>
    <d v="2024-07-28T00:00:00"/>
    <s v="2024-07"/>
    <x v="3"/>
    <n v="14"/>
    <x v="1"/>
    <n v="8"/>
    <n v="0"/>
    <n v="-8"/>
    <n v="14.69"/>
    <n v="0"/>
    <n v="15.75"/>
    <n v="-126"/>
    <n v="32762.720000000001"/>
    <d v="2021-02-26T00:00:00"/>
    <s v="Sí"/>
  </r>
  <r>
    <s v="TUR10048"/>
    <s v="EMP8787"/>
    <x v="16"/>
    <x v="4"/>
    <s v="Operario de Producción"/>
    <x v="0"/>
    <x v="2"/>
    <n v="5"/>
    <s v="Masculino"/>
    <d v="2024-09-06T00:00:00"/>
    <s v="2024-09"/>
    <x v="3"/>
    <n v="14"/>
    <x v="0"/>
    <n v="8"/>
    <n v="8.33"/>
    <n v="0.33"/>
    <n v="18.77"/>
    <n v="156.35"/>
    <n v="15.75"/>
    <n v="30.35"/>
    <n v="32762.720000000001"/>
    <d v="2021-02-26T00:00:00"/>
    <s v="No"/>
  </r>
  <r>
    <s v="TUR10105"/>
    <s v="EMP4608"/>
    <x v="17"/>
    <x v="0"/>
    <s v="Coordinador Logístico"/>
    <x v="1"/>
    <x v="1"/>
    <n v="1"/>
    <s v="Femenino"/>
    <d v="2024-12-24T00:00:00"/>
    <s v="2024-12"/>
    <x v="3"/>
    <n v="14"/>
    <x v="0"/>
    <n v="8"/>
    <n v="8.18"/>
    <n v="0.18"/>
    <n v="16.29"/>
    <n v="133.25"/>
    <n v="23.95"/>
    <n v="-58.35"/>
    <n v="49806.51"/>
    <d v="2024-07-10T00:00:00"/>
    <s v="Sí"/>
  </r>
  <r>
    <s v="TUR10010"/>
    <s v="EMP3717"/>
    <x v="18"/>
    <x v="5"/>
    <s v="Técnico de Calidad"/>
    <x v="0"/>
    <x v="0"/>
    <n v="4"/>
    <s v="Femenino"/>
    <d v="2024-10-03T00:00:00"/>
    <s v="2024-10"/>
    <x v="0"/>
    <n v="8"/>
    <x v="0"/>
    <n v="8"/>
    <n v="8.0500000000000007"/>
    <n v="0.05"/>
    <n v="19.559999999999999"/>
    <n v="157.46"/>
    <n v="21.74"/>
    <n v="-16.46"/>
    <n v="45229.03"/>
    <d v="2022-03-18T00:00:00"/>
    <s v="Sí"/>
  </r>
  <r>
    <s v="TUR10161"/>
    <s v="EMP3717"/>
    <x v="18"/>
    <x v="5"/>
    <s v="Técnico de Calidad"/>
    <x v="0"/>
    <x v="0"/>
    <n v="4"/>
    <s v="Femenino"/>
    <d v="2024-10-23T00:00:00"/>
    <s v="2024-10"/>
    <x v="1"/>
    <n v="6"/>
    <x v="0"/>
    <n v="8"/>
    <n v="7.8"/>
    <n v="-0.2"/>
    <n v="27.93"/>
    <n v="217.85"/>
    <n v="21.74"/>
    <n v="43.93"/>
    <n v="45229.03"/>
    <d v="2022-03-18T00:00:00"/>
    <s v="No"/>
  </r>
  <r>
    <s v="TUR10011"/>
    <s v="EMP3458"/>
    <x v="19"/>
    <x v="4"/>
    <s v="Operario de Producción"/>
    <x v="2"/>
    <x v="0"/>
    <n v="5"/>
    <s v="Femenino"/>
    <d v="2024-08-11T00:00:00"/>
    <s v="2024-08"/>
    <x v="2"/>
    <n v="22"/>
    <x v="0"/>
    <n v="8"/>
    <n v="8.01"/>
    <n v="0.01"/>
    <n v="21.11"/>
    <n v="169.09"/>
    <n v="16.059999999999999"/>
    <n v="40.61"/>
    <n v="33401.49"/>
    <d v="2020-11-18T00:00:00"/>
    <s v="No"/>
  </r>
  <r>
    <s v="TUR10034"/>
    <s v="EMP3458"/>
    <x v="19"/>
    <x v="4"/>
    <s v="Operario de Producción"/>
    <x v="2"/>
    <x v="0"/>
    <n v="5"/>
    <s v="Femenino"/>
    <d v="2024-12-26T00:00:00"/>
    <s v="2024-12"/>
    <x v="1"/>
    <n v="6"/>
    <x v="0"/>
    <n v="8"/>
    <n v="8.0500000000000007"/>
    <n v="0.05"/>
    <n v="15.09"/>
    <n v="121.47"/>
    <n v="16.059999999999999"/>
    <n v="-7.01"/>
    <n v="33401.49"/>
    <d v="2020-11-18T00:00:00"/>
    <s v="Sí"/>
  </r>
  <r>
    <s v="TUR10138"/>
    <s v="EMP3458"/>
    <x v="19"/>
    <x v="4"/>
    <s v="Operario de Producción"/>
    <x v="2"/>
    <x v="0"/>
    <n v="5"/>
    <s v="Femenino"/>
    <d v="2025-01-01T00:00:00"/>
    <s v="2025-01"/>
    <x v="1"/>
    <n v="6"/>
    <x v="0"/>
    <n v="8"/>
    <n v="8.17"/>
    <n v="0.17"/>
    <n v="25.57"/>
    <n v="208.91"/>
    <n v="16.059999999999999"/>
    <n v="80.430000000000007"/>
    <n v="33401.49"/>
    <d v="2020-11-18T00:00:00"/>
    <s v="Sí"/>
  </r>
  <r>
    <s v="TUR10058"/>
    <s v="EMP5563"/>
    <x v="20"/>
    <x v="5"/>
    <s v="Auditor Interno"/>
    <x v="1"/>
    <x v="1"/>
    <n v="4"/>
    <s v="Femenino"/>
    <d v="2024-11-17T00:00:00"/>
    <s v="2024-11"/>
    <x v="3"/>
    <n v="14"/>
    <x v="0"/>
    <n v="8"/>
    <n v="7.77"/>
    <n v="-0.23"/>
    <n v="13.85"/>
    <n v="107.61"/>
    <n v="20.25"/>
    <n v="-54.39"/>
    <n v="42129.36"/>
    <d v="2021-11-21T00:00:00"/>
    <s v="No"/>
  </r>
  <r>
    <s v="TUR10012"/>
    <s v="EMP3110"/>
    <x v="21"/>
    <x v="0"/>
    <s v="Técnico de Transporte"/>
    <x v="1"/>
    <x v="0"/>
    <n v="3"/>
    <s v="Femenino"/>
    <d v="2024-10-27T00:00:00"/>
    <s v="2024-10"/>
    <x v="1"/>
    <n v="6"/>
    <x v="1"/>
    <n v="8"/>
    <n v="0"/>
    <n v="-8"/>
    <n v="20.28"/>
    <n v="0"/>
    <n v="25.09"/>
    <n v="-200.72"/>
    <n v="52192.87"/>
    <d v="2022-06-29T00:00:00"/>
    <s v="No"/>
  </r>
  <r>
    <s v="TUR10020"/>
    <s v="EMP3110"/>
    <x v="21"/>
    <x v="0"/>
    <s v="Técnico de Transporte"/>
    <x v="1"/>
    <x v="0"/>
    <n v="3"/>
    <s v="Femenino"/>
    <d v="2024-08-29T00:00:00"/>
    <s v="2024-08"/>
    <x v="2"/>
    <n v="22"/>
    <x v="1"/>
    <n v="8"/>
    <n v="0"/>
    <n v="-8"/>
    <n v="17.46"/>
    <n v="0"/>
    <n v="25.09"/>
    <n v="-200.72"/>
    <n v="52192.87"/>
    <d v="2022-06-29T00:00:00"/>
    <s v="Sí"/>
  </r>
  <r>
    <s v="TUR10070"/>
    <s v="EMP3110"/>
    <x v="21"/>
    <x v="0"/>
    <s v="Técnico de Transporte"/>
    <x v="1"/>
    <x v="0"/>
    <n v="3"/>
    <s v="Femenino"/>
    <d v="2024-12-12T00:00:00"/>
    <s v="2024-12"/>
    <x v="0"/>
    <n v="8"/>
    <x v="0"/>
    <n v="8"/>
    <n v="7.79"/>
    <n v="-0.21"/>
    <n v="25.9"/>
    <n v="201.76"/>
    <n v="25.09"/>
    <n v="1.04"/>
    <n v="52192.87"/>
    <d v="2022-06-29T00:00:00"/>
    <s v="No"/>
  </r>
  <r>
    <s v="TUR10073"/>
    <s v="EMP3110"/>
    <x v="21"/>
    <x v="0"/>
    <s v="Técnico de Transporte"/>
    <x v="1"/>
    <x v="0"/>
    <n v="3"/>
    <s v="Femenino"/>
    <d v="2024-11-06T00:00:00"/>
    <s v="2024-11"/>
    <x v="1"/>
    <n v="6"/>
    <x v="3"/>
    <n v="8"/>
    <n v="6.92"/>
    <n v="-1.08"/>
    <n v="12.81"/>
    <n v="88.65"/>
    <n v="25.09"/>
    <n v="-112.07"/>
    <n v="52192.87"/>
    <d v="2022-06-29T00:00:00"/>
    <s v="No"/>
  </r>
  <r>
    <s v="TUR10076"/>
    <s v="EMP3110"/>
    <x v="21"/>
    <x v="0"/>
    <s v="Técnico de Transporte"/>
    <x v="1"/>
    <x v="0"/>
    <n v="3"/>
    <s v="Femenino"/>
    <d v="2024-12-04T00:00:00"/>
    <s v="2024-12"/>
    <x v="1"/>
    <n v="6"/>
    <x v="0"/>
    <n v="8"/>
    <n v="8.06"/>
    <n v="0.06"/>
    <n v="13.83"/>
    <n v="111.47"/>
    <n v="25.09"/>
    <n v="-89.25"/>
    <n v="52192.87"/>
    <d v="2022-06-29T00:00:00"/>
    <s v="Sí"/>
  </r>
  <r>
    <s v="TUR10165"/>
    <s v="EMP3110"/>
    <x v="21"/>
    <x v="0"/>
    <s v="Técnico de Transporte"/>
    <x v="1"/>
    <x v="0"/>
    <n v="3"/>
    <s v="Femenino"/>
    <d v="2024-08-23T00:00:00"/>
    <s v="2024-08"/>
    <x v="1"/>
    <n v="6"/>
    <x v="0"/>
    <n v="8"/>
    <n v="8.4499999999999993"/>
    <n v="0.45"/>
    <n v="18.13"/>
    <n v="153.19999999999999"/>
    <n v="25.09"/>
    <n v="-47.52"/>
    <n v="52192.87"/>
    <d v="2022-06-29T00:00:00"/>
    <s v="Sí"/>
  </r>
  <r>
    <s v="TUR10074"/>
    <s v="EMP1035"/>
    <x v="22"/>
    <x v="3"/>
    <s v="Responsable de RRHH"/>
    <x v="3"/>
    <x v="0"/>
    <n v="2"/>
    <s v="Masculino"/>
    <d v="2024-10-26T00:00:00"/>
    <s v="2024-10"/>
    <x v="0"/>
    <n v="8"/>
    <x v="0"/>
    <n v="8"/>
    <n v="8.0500000000000007"/>
    <n v="0.05"/>
    <n v="23.84"/>
    <n v="191.91"/>
    <n v="12.03"/>
    <n v="95.67"/>
    <n v="25026.22"/>
    <d v="2023-09-14T00:00:00"/>
    <s v="Pendiente"/>
  </r>
  <r>
    <s v="TUR10126"/>
    <s v="EMP1035"/>
    <x v="22"/>
    <x v="3"/>
    <s v="Responsable de RRHH"/>
    <x v="3"/>
    <x v="0"/>
    <n v="2"/>
    <s v="Masculino"/>
    <d v="2024-09-25T00:00:00"/>
    <s v="2024-09"/>
    <x v="1"/>
    <n v="6"/>
    <x v="0"/>
    <n v="8"/>
    <n v="7.81"/>
    <n v="-0.19"/>
    <n v="22.83"/>
    <n v="178.3"/>
    <n v="12.03"/>
    <n v="82.06"/>
    <n v="25026.22"/>
    <d v="2023-09-14T00:00:00"/>
    <s v="No"/>
  </r>
  <r>
    <s v="TUR10013"/>
    <s v="EMP6934"/>
    <x v="23"/>
    <x v="7"/>
    <s v="Auxiliar Administrativo"/>
    <x v="0"/>
    <x v="2"/>
    <n v="6"/>
    <s v="Femenino"/>
    <d v="2024-08-17T00:00:00"/>
    <s v="2024-08"/>
    <x v="2"/>
    <n v="22"/>
    <x v="0"/>
    <n v="8"/>
    <n v="8.35"/>
    <n v="0.35"/>
    <n v="27.41"/>
    <n v="228.87"/>
    <n v="19.61"/>
    <n v="71.989999999999995"/>
    <n v="40788.76"/>
    <d v="2019-10-07T00:00:00"/>
    <s v="No"/>
  </r>
  <r>
    <s v="TUR10014"/>
    <s v="EMP1504"/>
    <x v="24"/>
    <x v="1"/>
    <s v="Comercial"/>
    <x v="3"/>
    <x v="2"/>
    <n v="2"/>
    <s v="Femenino"/>
    <d v="2024-09-06T00:00:00"/>
    <s v="2024-09"/>
    <x v="2"/>
    <n v="22"/>
    <x v="0"/>
    <n v="8"/>
    <n v="8.1"/>
    <n v="0.1"/>
    <n v="18.93"/>
    <n v="153.33000000000001"/>
    <n v="25.73"/>
    <n v="-52.51"/>
    <n v="53524.97"/>
    <d v="2024-02-11T00:00:00"/>
    <s v="Sí"/>
  </r>
  <r>
    <s v="TUR10153"/>
    <s v="EMP1504"/>
    <x v="24"/>
    <x v="1"/>
    <s v="Comercial"/>
    <x v="3"/>
    <x v="2"/>
    <n v="2"/>
    <s v="Femenino"/>
    <d v="2024-12-19T00:00:00"/>
    <s v="2024-12"/>
    <x v="1"/>
    <n v="6"/>
    <x v="1"/>
    <n v="8"/>
    <n v="0"/>
    <n v="-8"/>
    <n v="18.829999999999998"/>
    <n v="0"/>
    <n v="25.73"/>
    <n v="-205.84"/>
    <n v="53524.97"/>
    <d v="2024-02-11T00:00:00"/>
    <s v="Pendiente"/>
  </r>
  <r>
    <s v="TUR10210"/>
    <s v="EMP1504"/>
    <x v="24"/>
    <x v="1"/>
    <s v="Comercial"/>
    <x v="3"/>
    <x v="2"/>
    <n v="2"/>
    <s v="Femenino"/>
    <d v="2024-08-10T00:00:00"/>
    <s v="2024-08"/>
    <x v="3"/>
    <n v="14"/>
    <x v="0"/>
    <n v="8"/>
    <n v="8.43"/>
    <n v="0.43"/>
    <n v="22.56"/>
    <n v="190.18"/>
    <n v="25.73"/>
    <n v="-15.66"/>
    <n v="53524.97"/>
    <d v="2024-02-11T00:00:00"/>
    <s v="No"/>
  </r>
  <r>
    <s v="TUR10196"/>
    <s v="EMP5351"/>
    <x v="25"/>
    <x v="3"/>
    <s v="Responsable de RRHH"/>
    <x v="2"/>
    <x v="1"/>
    <n v="4"/>
    <s v="Masculino"/>
    <d v="2024-12-19T00:00:00"/>
    <s v="2024-12"/>
    <x v="2"/>
    <n v="22"/>
    <x v="0"/>
    <n v="8"/>
    <n v="8.0399999999999991"/>
    <n v="0.04"/>
    <n v="16.899999999999999"/>
    <n v="135.88"/>
    <n v="8.82"/>
    <n v="65.319999999999993"/>
    <n v="18344.669999999998"/>
    <d v="2021-06-09T00:00:00"/>
    <s v="Pendiente"/>
  </r>
  <r>
    <s v="TUR10015"/>
    <s v="EMP5121"/>
    <x v="26"/>
    <x v="4"/>
    <s v="Técnico de Producción"/>
    <x v="2"/>
    <x v="3"/>
    <n v="6"/>
    <s v="Masculino"/>
    <d v="2024-07-12T00:00:00"/>
    <s v="2024-07"/>
    <x v="3"/>
    <n v="14"/>
    <x v="0"/>
    <n v="8"/>
    <n v="7.92"/>
    <n v="-0.08"/>
    <n v="27.22"/>
    <n v="215.58"/>
    <n v="22.75"/>
    <n v="33.58"/>
    <n v="47328.33"/>
    <d v="2019-12-13T00:00:00"/>
    <s v="Pendiente"/>
  </r>
  <r>
    <s v="TUR10053"/>
    <s v="EMP5121"/>
    <x v="26"/>
    <x v="4"/>
    <s v="Técnico de Producción"/>
    <x v="2"/>
    <x v="3"/>
    <n v="6"/>
    <s v="Masculino"/>
    <d v="2024-09-11T00:00:00"/>
    <s v="2024-09"/>
    <x v="2"/>
    <n v="22"/>
    <x v="0"/>
    <n v="8"/>
    <n v="7.89"/>
    <n v="-0.11"/>
    <n v="23.18"/>
    <n v="182.89"/>
    <n v="22.75"/>
    <n v="0.89"/>
    <n v="47328.33"/>
    <d v="2019-12-13T00:00:00"/>
    <s v="Sí"/>
  </r>
  <r>
    <s v="TUR10142"/>
    <s v="EMP5121"/>
    <x v="26"/>
    <x v="4"/>
    <s v="Técnico de Producción"/>
    <x v="2"/>
    <x v="3"/>
    <n v="6"/>
    <s v="Masculino"/>
    <d v="2024-07-26T00:00:00"/>
    <s v="2024-07"/>
    <x v="0"/>
    <n v="8"/>
    <x v="1"/>
    <n v="8"/>
    <n v="0"/>
    <n v="-8"/>
    <n v="20.16"/>
    <n v="0"/>
    <n v="22.75"/>
    <n v="-182"/>
    <n v="47328.33"/>
    <d v="2019-12-13T00:00:00"/>
    <s v="No"/>
  </r>
  <r>
    <s v="TUR10081"/>
    <s v="EMP5669"/>
    <x v="27"/>
    <x v="3"/>
    <s v="Gestor de Nóminas"/>
    <x v="1"/>
    <x v="2"/>
    <n v="1"/>
    <s v="Femenino"/>
    <d v="2024-11-11T00:00:00"/>
    <s v="2024-11"/>
    <x v="2"/>
    <n v="22"/>
    <x v="0"/>
    <n v="8"/>
    <n v="8.27"/>
    <n v="0.27"/>
    <n v="18.64"/>
    <n v="154.15"/>
    <n v="25.23"/>
    <n v="-47.69"/>
    <n v="52474.97"/>
    <d v="2024-05-04T00:00:00"/>
    <s v="Sí"/>
  </r>
  <r>
    <s v="TUR10187"/>
    <s v="EMP5669"/>
    <x v="27"/>
    <x v="3"/>
    <s v="Gestor de Nóminas"/>
    <x v="1"/>
    <x v="2"/>
    <n v="1"/>
    <s v="Femenino"/>
    <d v="2024-11-28T00:00:00"/>
    <s v="2024-11"/>
    <x v="2"/>
    <n v="22"/>
    <x v="0"/>
    <n v="8"/>
    <n v="8.39"/>
    <n v="0.39"/>
    <n v="13.5"/>
    <n v="113.26"/>
    <n v="25.23"/>
    <n v="-88.58"/>
    <n v="52474.97"/>
    <d v="2024-05-04T00:00:00"/>
    <s v="Sí"/>
  </r>
  <r>
    <s v="TUR10016"/>
    <s v="EMP9307"/>
    <x v="28"/>
    <x v="0"/>
    <s v="Técnico de Transporte"/>
    <x v="0"/>
    <x v="2"/>
    <n v="4"/>
    <s v="Femenino"/>
    <d v="2024-12-09T00:00:00"/>
    <s v="2024-12"/>
    <x v="2"/>
    <n v="22"/>
    <x v="3"/>
    <n v="8"/>
    <n v="6.15"/>
    <n v="-1.85"/>
    <n v="20.2"/>
    <n v="124.23"/>
    <n v="19.420000000000002"/>
    <n v="-31.13"/>
    <n v="40385.22"/>
    <d v="2022-02-10T00:00:00"/>
    <s v="No"/>
  </r>
  <r>
    <s v="TUR10017"/>
    <s v="EMP9692"/>
    <x v="29"/>
    <x v="4"/>
    <s v="Operario de Producción"/>
    <x v="1"/>
    <x v="0"/>
    <n v="6"/>
    <s v="Femenino"/>
    <d v="2024-11-16T00:00:00"/>
    <s v="2024-11"/>
    <x v="2"/>
    <n v="22"/>
    <x v="0"/>
    <n v="8"/>
    <n v="8.26"/>
    <n v="0.26"/>
    <n v="23.4"/>
    <n v="193.28"/>
    <n v="16.3"/>
    <n v="62.88"/>
    <n v="33912.589999999997"/>
    <d v="2019-12-11T00:00:00"/>
    <s v="Sí"/>
  </r>
  <r>
    <s v="TUR10069"/>
    <s v="EMP9692"/>
    <x v="29"/>
    <x v="4"/>
    <s v="Operario de Producción"/>
    <x v="1"/>
    <x v="0"/>
    <n v="6"/>
    <s v="Femenino"/>
    <d v="2024-10-10T00:00:00"/>
    <s v="2024-10"/>
    <x v="1"/>
    <n v="6"/>
    <x v="0"/>
    <n v="8"/>
    <n v="8.11"/>
    <n v="0.11"/>
    <n v="20.92"/>
    <n v="169.66"/>
    <n v="16.3"/>
    <n v="39.26"/>
    <n v="33912.589999999997"/>
    <d v="2019-12-11T00:00:00"/>
    <s v="Sí"/>
  </r>
  <r>
    <s v="TUR10189"/>
    <s v="EMP9692"/>
    <x v="29"/>
    <x v="4"/>
    <s v="Operario de Producción"/>
    <x v="1"/>
    <x v="0"/>
    <n v="6"/>
    <s v="Femenino"/>
    <d v="2024-09-05T00:00:00"/>
    <s v="2024-09"/>
    <x v="0"/>
    <n v="8"/>
    <x v="2"/>
    <n v="8"/>
    <n v="0"/>
    <n v="-8"/>
    <n v="23.38"/>
    <n v="0"/>
    <n v="16.3"/>
    <n v="-130.4"/>
    <n v="33912.589999999997"/>
    <d v="2019-12-11T00:00:00"/>
    <s v="Sí"/>
  </r>
  <r>
    <s v="TUR10018"/>
    <s v="EMP3063"/>
    <x v="30"/>
    <x v="1"/>
    <s v="Técnico Comercial"/>
    <x v="0"/>
    <x v="0"/>
    <n v="2"/>
    <s v="Masculino"/>
    <d v="2024-11-11T00:00:00"/>
    <s v="2024-11"/>
    <x v="3"/>
    <n v="14"/>
    <x v="0"/>
    <n v="8"/>
    <n v="7.94"/>
    <n v="-0.06"/>
    <n v="13.23"/>
    <n v="105.05"/>
    <n v="14.5"/>
    <n v="-10.95"/>
    <n v="30156.7"/>
    <d v="2024-02-04T00:00:00"/>
    <s v="Sí"/>
  </r>
  <r>
    <s v="TUR10124"/>
    <s v="EMP3063"/>
    <x v="30"/>
    <x v="1"/>
    <s v="Técnico Comercial"/>
    <x v="0"/>
    <x v="0"/>
    <n v="2"/>
    <s v="Masculino"/>
    <d v="2024-08-14T00:00:00"/>
    <s v="2024-08"/>
    <x v="2"/>
    <n v="22"/>
    <x v="2"/>
    <n v="8"/>
    <n v="0"/>
    <n v="-8"/>
    <n v="27.01"/>
    <n v="0"/>
    <n v="14.5"/>
    <n v="-116"/>
    <n v="30156.7"/>
    <d v="2024-02-04T00:00:00"/>
    <s v="No"/>
  </r>
  <r>
    <s v="TUR10178"/>
    <s v="EMP3063"/>
    <x v="30"/>
    <x v="1"/>
    <s v="Técnico Comercial"/>
    <x v="0"/>
    <x v="0"/>
    <n v="2"/>
    <s v="Masculino"/>
    <d v="2024-07-22T00:00:00"/>
    <s v="2024-07"/>
    <x v="3"/>
    <n v="14"/>
    <x v="2"/>
    <n v="8"/>
    <n v="0"/>
    <n v="-8"/>
    <n v="17.71"/>
    <n v="0"/>
    <n v="14.5"/>
    <n v="-116"/>
    <n v="30156.7"/>
    <d v="2024-02-04T00:00:00"/>
    <s v="Sí"/>
  </r>
  <r>
    <s v="TUR10162"/>
    <s v="EMP5088"/>
    <x v="31"/>
    <x v="4"/>
    <s v="Supervisor de Línea"/>
    <x v="0"/>
    <x v="0"/>
    <n v="5"/>
    <s v="Masculino"/>
    <d v="2024-11-11T00:00:00"/>
    <s v="2024-11"/>
    <x v="0"/>
    <n v="8"/>
    <x v="0"/>
    <n v="8"/>
    <n v="8.0399999999999991"/>
    <n v="0.04"/>
    <n v="13.02"/>
    <n v="104.68"/>
    <n v="24.03"/>
    <n v="-87.56"/>
    <n v="49990.41"/>
    <d v="2020-06-08T00:00:00"/>
    <s v="No"/>
  </r>
  <r>
    <s v="TUR10019"/>
    <s v="EMP3024"/>
    <x v="32"/>
    <x v="7"/>
    <s v="Administrativo"/>
    <x v="1"/>
    <x v="2"/>
    <n v="1"/>
    <s v="Masculino"/>
    <d v="2024-07-28T00:00:00"/>
    <s v="2024-07"/>
    <x v="0"/>
    <n v="8"/>
    <x v="0"/>
    <n v="8"/>
    <n v="8.32"/>
    <n v="0.32"/>
    <n v="25.34"/>
    <n v="210.83"/>
    <n v="16.14"/>
    <n v="81.709999999999994"/>
    <n v="33572.239999999998"/>
    <d v="2024-05-10T00:00:00"/>
    <s v="No"/>
  </r>
  <r>
    <s v="TUR10029"/>
    <s v="EMP3024"/>
    <x v="32"/>
    <x v="7"/>
    <s v="Administrativo"/>
    <x v="1"/>
    <x v="2"/>
    <n v="1"/>
    <s v="Masculino"/>
    <d v="2024-08-07T00:00:00"/>
    <s v="2024-08"/>
    <x v="3"/>
    <n v="14"/>
    <x v="0"/>
    <n v="8"/>
    <n v="8.24"/>
    <n v="0.24"/>
    <n v="27.64"/>
    <n v="227.75"/>
    <n v="16.14"/>
    <n v="98.63"/>
    <n v="33572.239999999998"/>
    <d v="2024-05-10T00:00:00"/>
    <s v="No"/>
  </r>
  <r>
    <s v="TUR10171"/>
    <s v="EMP3024"/>
    <x v="32"/>
    <x v="7"/>
    <s v="Administrativo"/>
    <x v="1"/>
    <x v="2"/>
    <n v="1"/>
    <s v="Masculino"/>
    <d v="2024-08-06T00:00:00"/>
    <s v="2024-08"/>
    <x v="3"/>
    <n v="14"/>
    <x v="1"/>
    <n v="8"/>
    <n v="0"/>
    <n v="-8"/>
    <n v="23.37"/>
    <n v="0"/>
    <n v="16.14"/>
    <n v="-129.12"/>
    <n v="33572.239999999998"/>
    <d v="2024-05-10T00:00:00"/>
    <s v="Sí"/>
  </r>
  <r>
    <s v="TUR10141"/>
    <s v="EMP1634"/>
    <x v="33"/>
    <x v="5"/>
    <s v="Inspector de Calidad"/>
    <x v="2"/>
    <x v="0"/>
    <n v="5"/>
    <s v="Femenino"/>
    <d v="2024-11-26T00:00:00"/>
    <s v="2024-11"/>
    <x v="1"/>
    <n v="6"/>
    <x v="0"/>
    <n v="8"/>
    <n v="8.41"/>
    <n v="0.41"/>
    <n v="11.98"/>
    <n v="100.75"/>
    <n v="12.62"/>
    <n v="-0.21"/>
    <n v="26248.17"/>
    <d v="2021-03-22T00:00:00"/>
    <s v="No"/>
  </r>
  <r>
    <s v="TUR10021"/>
    <s v="EMP5298"/>
    <x v="34"/>
    <x v="2"/>
    <s v="Desarrollador"/>
    <x v="3"/>
    <x v="3"/>
    <n v="3"/>
    <s v="Masculino"/>
    <d v="2024-08-26T00:00:00"/>
    <s v="2024-08"/>
    <x v="1"/>
    <n v="6"/>
    <x v="2"/>
    <n v="8"/>
    <n v="0"/>
    <n v="-8"/>
    <n v="18.5"/>
    <n v="0"/>
    <n v="19.100000000000001"/>
    <n v="-152.80000000000001"/>
    <n v="39719.17"/>
    <d v="2022-12-21T00:00:00"/>
    <s v="Pendiente"/>
  </r>
  <r>
    <s v="TUR10060"/>
    <s v="EMP9518"/>
    <x v="35"/>
    <x v="1"/>
    <s v="Key Account Manager"/>
    <x v="3"/>
    <x v="1"/>
    <n v="6"/>
    <s v="Masculino"/>
    <d v="2024-07-22T00:00:00"/>
    <s v="2024-07"/>
    <x v="0"/>
    <n v="8"/>
    <x v="0"/>
    <n v="8"/>
    <n v="8.02"/>
    <n v="0.02"/>
    <n v="24.4"/>
    <n v="195.69"/>
    <n v="25.53"/>
    <n v="-8.5500000000000007"/>
    <n v="53108.36"/>
    <d v="2019-10-05T00:00:00"/>
    <s v="No"/>
  </r>
  <r>
    <s v="TUR10022"/>
    <s v="EMP1751"/>
    <x v="36"/>
    <x v="7"/>
    <s v="Auxiliar Administrativo"/>
    <x v="2"/>
    <x v="3"/>
    <n v="2"/>
    <s v="Femenino"/>
    <d v="2024-12-29T00:00:00"/>
    <s v="2024-12"/>
    <x v="1"/>
    <n v="6"/>
    <x v="0"/>
    <n v="8"/>
    <n v="7.91"/>
    <n v="-0.09"/>
    <n v="16.2"/>
    <n v="128.13999999999999"/>
    <n v="25.64"/>
    <n v="-76.98"/>
    <n v="53338.3"/>
    <d v="2023-06-02T00:00:00"/>
    <s v="No"/>
  </r>
  <r>
    <s v="TUR10023"/>
    <s v="EMP3712"/>
    <x v="37"/>
    <x v="4"/>
    <s v="Técnico de Producción"/>
    <x v="0"/>
    <x v="3"/>
    <n v="5"/>
    <s v="Femenino"/>
    <d v="2024-10-25T00:00:00"/>
    <s v="2024-10"/>
    <x v="3"/>
    <n v="14"/>
    <x v="3"/>
    <n v="8"/>
    <n v="5.58"/>
    <n v="-2.42"/>
    <n v="13.72"/>
    <n v="76.56"/>
    <n v="19.52"/>
    <n v="-79.599999999999994"/>
    <n v="40592.03"/>
    <d v="2020-09-14T00:00:00"/>
    <s v="Sí"/>
  </r>
  <r>
    <s v="TUR10068"/>
    <s v="EMP3712"/>
    <x v="37"/>
    <x v="4"/>
    <s v="Técnico de Producción"/>
    <x v="0"/>
    <x v="3"/>
    <n v="5"/>
    <s v="Femenino"/>
    <d v="2024-08-05T00:00:00"/>
    <s v="2024-08"/>
    <x v="2"/>
    <n v="22"/>
    <x v="1"/>
    <n v="8"/>
    <n v="0"/>
    <n v="-8"/>
    <n v="24.69"/>
    <n v="0"/>
    <n v="19.52"/>
    <n v="-156.16"/>
    <n v="40592.03"/>
    <d v="2020-09-14T00:00:00"/>
    <s v="No"/>
  </r>
  <r>
    <s v="TUR10024"/>
    <s v="EMP1276"/>
    <x v="38"/>
    <x v="0"/>
    <s v="Gestor de Flota"/>
    <x v="1"/>
    <x v="1"/>
    <n v="1"/>
    <s v="Masculino"/>
    <d v="2024-09-30T00:00:00"/>
    <s v="2024-09"/>
    <x v="2"/>
    <n v="22"/>
    <x v="0"/>
    <n v="8"/>
    <n v="8.0500000000000007"/>
    <n v="0.05"/>
    <n v="20.5"/>
    <n v="165.02"/>
    <n v="21.12"/>
    <n v="-3.94"/>
    <n v="43932.639999999999"/>
    <d v="2024-07-07T00:00:00"/>
    <s v="Sí"/>
  </r>
  <r>
    <s v="TUR10046"/>
    <s v="EMP1276"/>
    <x v="38"/>
    <x v="0"/>
    <s v="Gestor de Flota"/>
    <x v="1"/>
    <x v="1"/>
    <n v="1"/>
    <s v="Masculino"/>
    <d v="2024-12-18T00:00:00"/>
    <s v="2024-12"/>
    <x v="3"/>
    <n v="14"/>
    <x v="2"/>
    <n v="8"/>
    <n v="0"/>
    <n v="-8"/>
    <n v="20.010000000000002"/>
    <n v="0"/>
    <n v="21.12"/>
    <n v="-168.96"/>
    <n v="43932.639999999999"/>
    <d v="2024-07-07T00:00:00"/>
    <s v="Sí"/>
  </r>
  <r>
    <s v="TUR10080"/>
    <s v="EMP1276"/>
    <x v="38"/>
    <x v="0"/>
    <s v="Gestor de Flota"/>
    <x v="1"/>
    <x v="1"/>
    <n v="1"/>
    <s v="Masculino"/>
    <d v="2024-08-14T00:00:00"/>
    <s v="2024-08"/>
    <x v="2"/>
    <n v="22"/>
    <x v="3"/>
    <n v="8"/>
    <n v="6.25"/>
    <n v="-1.75"/>
    <n v="17.09"/>
    <n v="106.81"/>
    <n v="21.12"/>
    <n v="-62.15"/>
    <n v="43932.639999999999"/>
    <d v="2024-07-07T00:00:00"/>
    <s v="Pendiente"/>
  </r>
  <r>
    <s v="TUR10215"/>
    <s v="EMP7547"/>
    <x v="39"/>
    <x v="0"/>
    <s v="Coordinador Logístico"/>
    <x v="3"/>
    <x v="0"/>
    <n v="6"/>
    <s v="Masculino"/>
    <d v="2024-09-10T00:00:00"/>
    <s v="2024-09"/>
    <x v="3"/>
    <n v="14"/>
    <x v="0"/>
    <n v="8"/>
    <n v="8.49"/>
    <n v="0.49"/>
    <n v="13.37"/>
    <n v="113.51"/>
    <n v="11.78"/>
    <n v="19.27"/>
    <n v="24507.81"/>
    <d v="2019-07-21T00:00:00"/>
    <s v="No"/>
  </r>
  <r>
    <s v="TUR10217"/>
    <s v="EMP7547"/>
    <x v="39"/>
    <x v="0"/>
    <s v="Coordinador Logístico"/>
    <x v="3"/>
    <x v="0"/>
    <n v="6"/>
    <s v="Masculino"/>
    <d v="2024-09-19T00:00:00"/>
    <s v="2024-09"/>
    <x v="1"/>
    <n v="6"/>
    <x v="0"/>
    <n v="8"/>
    <n v="8.44"/>
    <n v="0.44"/>
    <n v="20.23"/>
    <n v="170.74"/>
    <n v="11.78"/>
    <n v="76.5"/>
    <n v="24507.81"/>
    <d v="2019-07-21T00:00:00"/>
    <s v="Sí"/>
  </r>
  <r>
    <s v="TUR10025"/>
    <s v="EMP7302"/>
    <x v="40"/>
    <x v="1"/>
    <s v="Key Account Manager"/>
    <x v="3"/>
    <x v="2"/>
    <n v="3"/>
    <s v="Masculino"/>
    <d v="2024-11-02T00:00:00"/>
    <s v="2024-11"/>
    <x v="2"/>
    <n v="22"/>
    <x v="0"/>
    <n v="8"/>
    <n v="8.07"/>
    <n v="7.0000000000000007E-2"/>
    <n v="13.05"/>
    <n v="105.31"/>
    <n v="25.92"/>
    <n v="-102.05"/>
    <n v="53908.19"/>
    <d v="2022-05-20T00:00:00"/>
    <s v="Sí"/>
  </r>
  <r>
    <s v="TUR10107"/>
    <s v="EMP8251"/>
    <x v="41"/>
    <x v="4"/>
    <s v="Supervisor de Línea"/>
    <x v="3"/>
    <x v="0"/>
    <n v="4"/>
    <s v="Femenino"/>
    <d v="2024-10-11T00:00:00"/>
    <s v="2024-10"/>
    <x v="2"/>
    <n v="22"/>
    <x v="2"/>
    <n v="8"/>
    <n v="0"/>
    <n v="-8"/>
    <n v="23.77"/>
    <n v="0"/>
    <n v="21.88"/>
    <n v="-175.04"/>
    <n v="45515.25"/>
    <d v="2022-04-05T00:00:00"/>
    <s v="Sí"/>
  </r>
  <r>
    <s v="TUR10119"/>
    <s v="EMP8251"/>
    <x v="41"/>
    <x v="4"/>
    <s v="Supervisor de Línea"/>
    <x v="3"/>
    <x v="0"/>
    <n v="4"/>
    <s v="Femenino"/>
    <d v="2024-08-25T00:00:00"/>
    <s v="2024-08"/>
    <x v="0"/>
    <n v="8"/>
    <x v="0"/>
    <n v="8"/>
    <n v="8.35"/>
    <n v="0.35"/>
    <n v="13.83"/>
    <n v="115.48"/>
    <n v="21.88"/>
    <n v="-59.56"/>
    <n v="45515.25"/>
    <d v="2022-04-05T00:00:00"/>
    <s v="Pendiente"/>
  </r>
  <r>
    <s v="TUR10128"/>
    <s v="EMP8251"/>
    <x v="41"/>
    <x v="4"/>
    <s v="Supervisor de Línea"/>
    <x v="3"/>
    <x v="0"/>
    <n v="4"/>
    <s v="Femenino"/>
    <d v="2024-12-08T00:00:00"/>
    <s v="2024-12"/>
    <x v="0"/>
    <n v="8"/>
    <x v="3"/>
    <n v="8"/>
    <n v="6.88"/>
    <n v="-1.1200000000000001"/>
    <n v="14.55"/>
    <n v="100.1"/>
    <n v="21.88"/>
    <n v="-74.94"/>
    <n v="45515.25"/>
    <d v="2022-04-05T00:00:00"/>
    <s v="Sí"/>
  </r>
  <r>
    <s v="TUR10134"/>
    <s v="EMP5451"/>
    <x v="42"/>
    <x v="6"/>
    <s v="Mozo de Almacén"/>
    <x v="0"/>
    <x v="0"/>
    <n v="2"/>
    <s v="Masculino"/>
    <d v="2024-11-17T00:00:00"/>
    <s v="2024-11"/>
    <x v="0"/>
    <n v="8"/>
    <x v="2"/>
    <n v="8"/>
    <n v="0"/>
    <n v="-8"/>
    <n v="20.97"/>
    <n v="0"/>
    <n v="15.47"/>
    <n v="-123.76"/>
    <n v="32172.31"/>
    <d v="2024-01-25T00:00:00"/>
    <s v="No"/>
  </r>
  <r>
    <s v="TUR10027"/>
    <s v="EMP3582"/>
    <x v="43"/>
    <x v="0"/>
    <s v="Coordinador Logístico"/>
    <x v="2"/>
    <x v="0"/>
    <n v="2"/>
    <s v="Masculino"/>
    <d v="2024-09-22T00:00:00"/>
    <s v="2024-09"/>
    <x v="1"/>
    <n v="6"/>
    <x v="0"/>
    <n v="8"/>
    <n v="8.27"/>
    <n v="0.27"/>
    <n v="24.74"/>
    <n v="204.6"/>
    <n v="10.28"/>
    <n v="122.36"/>
    <n v="21374.880000000001"/>
    <d v="2023-07-13T00:00:00"/>
    <s v="Sí"/>
  </r>
  <r>
    <s v="TUR10144"/>
    <s v="EMP3582"/>
    <x v="43"/>
    <x v="0"/>
    <s v="Coordinador Logístico"/>
    <x v="2"/>
    <x v="0"/>
    <n v="2"/>
    <s v="Masculino"/>
    <d v="2024-07-05T00:00:00"/>
    <s v="2024-07"/>
    <x v="0"/>
    <n v="8"/>
    <x v="2"/>
    <n v="8"/>
    <n v="0"/>
    <n v="-8"/>
    <n v="27.33"/>
    <n v="0"/>
    <n v="10.28"/>
    <n v="-82.24"/>
    <n v="21374.880000000001"/>
    <d v="2023-07-13T00:00:00"/>
    <s v="Sí"/>
  </r>
  <r>
    <s v="TUR10028"/>
    <s v="EMP7606"/>
    <x v="44"/>
    <x v="0"/>
    <s v="Gestor de Flota"/>
    <x v="0"/>
    <x v="2"/>
    <n v="1"/>
    <s v="Masculino"/>
    <d v="2024-10-01T00:00:00"/>
    <s v="2024-10"/>
    <x v="2"/>
    <n v="22"/>
    <x v="2"/>
    <n v="8"/>
    <n v="0"/>
    <n v="-8"/>
    <n v="16.52"/>
    <n v="0"/>
    <n v="18.489999999999998"/>
    <n v="-147.91999999999999"/>
    <n v="38469.25"/>
    <d v="2024-07-05T00:00:00"/>
    <s v="Sí"/>
  </r>
  <r>
    <s v="TUR10084"/>
    <s v="EMP7606"/>
    <x v="44"/>
    <x v="0"/>
    <s v="Gestor de Flota"/>
    <x v="0"/>
    <x v="2"/>
    <n v="1"/>
    <s v="Masculino"/>
    <d v="2024-09-23T00:00:00"/>
    <s v="2024-09"/>
    <x v="0"/>
    <n v="8"/>
    <x v="0"/>
    <n v="8"/>
    <n v="7.87"/>
    <n v="-0.13"/>
    <n v="16.72"/>
    <n v="131.59"/>
    <n v="18.489999999999998"/>
    <n v="-16.329999999999998"/>
    <n v="38469.25"/>
    <d v="2024-07-05T00:00:00"/>
    <s v="Sí"/>
  </r>
  <r>
    <s v="TUR10030"/>
    <s v="EMP8951"/>
    <x v="45"/>
    <x v="0"/>
    <s v="Coordinador Logístico"/>
    <x v="1"/>
    <x v="3"/>
    <n v="6"/>
    <s v="Femenino"/>
    <d v="2024-09-09T00:00:00"/>
    <s v="2024-09"/>
    <x v="0"/>
    <n v="8"/>
    <x v="0"/>
    <n v="8"/>
    <n v="8.0399999999999991"/>
    <n v="0.04"/>
    <n v="21.55"/>
    <n v="173.26"/>
    <n v="8.94"/>
    <n v="101.74"/>
    <n v="18602.41"/>
    <d v="2019-09-17T00:00:00"/>
    <s v="Sí"/>
  </r>
  <r>
    <s v="TUR10109"/>
    <s v="EMP4908"/>
    <x v="46"/>
    <x v="6"/>
    <s v="Operario de Carretilla"/>
    <x v="0"/>
    <x v="3"/>
    <n v="5"/>
    <s v="Masculino"/>
    <d v="2024-08-31T00:00:00"/>
    <s v="2024-08"/>
    <x v="1"/>
    <n v="6"/>
    <x v="0"/>
    <n v="8"/>
    <n v="8.27"/>
    <n v="0.27"/>
    <n v="21.15"/>
    <n v="174.91"/>
    <n v="21.1"/>
    <n v="6.11"/>
    <n v="43880.2"/>
    <d v="2020-08-15T00:00:00"/>
    <s v="No"/>
  </r>
  <r>
    <s v="TUR10031"/>
    <s v="EMP3363"/>
    <x v="47"/>
    <x v="4"/>
    <s v="Supervisor de Línea"/>
    <x v="1"/>
    <x v="1"/>
    <n v="5"/>
    <s v="Masculino"/>
    <d v="2024-07-24T00:00:00"/>
    <s v="2024-07"/>
    <x v="0"/>
    <n v="8"/>
    <x v="0"/>
    <n v="8"/>
    <n v="8.18"/>
    <n v="0.18"/>
    <n v="13.33"/>
    <n v="109.04"/>
    <n v="9.35"/>
    <n v="34.24"/>
    <n v="19439.82"/>
    <d v="2020-12-02T00:00:00"/>
    <s v="No"/>
  </r>
  <r>
    <s v="TUR10043"/>
    <s v="EMP4249"/>
    <x v="48"/>
    <x v="1"/>
    <s v="Comercial"/>
    <x v="2"/>
    <x v="1"/>
    <n v="4"/>
    <s v="Masculino"/>
    <d v="2024-07-27T00:00:00"/>
    <s v="2024-07"/>
    <x v="0"/>
    <n v="8"/>
    <x v="3"/>
    <n v="8"/>
    <n v="6.96"/>
    <n v="-1.04"/>
    <n v="13.79"/>
    <n v="95.98"/>
    <n v="22.82"/>
    <n v="-86.58"/>
    <n v="47460.41"/>
    <d v="2021-09-30T00:00:00"/>
    <s v="Sí"/>
  </r>
  <r>
    <s v="TUR10098"/>
    <s v="EMP4249"/>
    <x v="48"/>
    <x v="1"/>
    <s v="Comercial"/>
    <x v="2"/>
    <x v="1"/>
    <n v="4"/>
    <s v="Masculino"/>
    <d v="2024-08-05T00:00:00"/>
    <s v="2024-08"/>
    <x v="3"/>
    <n v="14"/>
    <x v="0"/>
    <n v="8"/>
    <n v="8.16"/>
    <n v="0.16"/>
    <n v="16.16"/>
    <n v="131.87"/>
    <n v="22.82"/>
    <n v="-50.69"/>
    <n v="47460.41"/>
    <d v="2021-09-30T00:00:00"/>
    <s v="Sí"/>
  </r>
  <r>
    <s v="TUR10032"/>
    <s v="EMP6848"/>
    <x v="49"/>
    <x v="2"/>
    <s v="Analista de Sistemas"/>
    <x v="1"/>
    <x v="2"/>
    <n v="3"/>
    <s v="Femenino"/>
    <d v="2024-07-31T00:00:00"/>
    <s v="2024-07"/>
    <x v="2"/>
    <n v="22"/>
    <x v="0"/>
    <n v="8"/>
    <n v="8.0500000000000007"/>
    <n v="0.05"/>
    <n v="23.59"/>
    <n v="189.9"/>
    <n v="16.43"/>
    <n v="58.46"/>
    <n v="34167.199999999997"/>
    <d v="2022-09-05T00:00:00"/>
    <s v="No"/>
  </r>
  <r>
    <s v="TUR10136"/>
    <s v="EMP6848"/>
    <x v="49"/>
    <x v="2"/>
    <s v="Analista de Sistemas"/>
    <x v="1"/>
    <x v="2"/>
    <n v="3"/>
    <s v="Femenino"/>
    <d v="2024-07-28T00:00:00"/>
    <s v="2024-07"/>
    <x v="0"/>
    <n v="8"/>
    <x v="0"/>
    <n v="8"/>
    <n v="8.09"/>
    <n v="0.09"/>
    <n v="15.75"/>
    <n v="127.42"/>
    <n v="16.43"/>
    <n v="-4.0199999999999996"/>
    <n v="34167.199999999997"/>
    <d v="2022-09-05T00:00:00"/>
    <s v="No"/>
  </r>
  <r>
    <s v="TUR10033"/>
    <s v="EMP6881"/>
    <x v="50"/>
    <x v="3"/>
    <s v="Técnico de RRHH"/>
    <x v="3"/>
    <x v="2"/>
    <n v="6"/>
    <s v="Masculino"/>
    <d v="2024-11-30T00:00:00"/>
    <s v="2024-11"/>
    <x v="1"/>
    <n v="6"/>
    <x v="0"/>
    <n v="8"/>
    <n v="7.93"/>
    <n v="-7.0000000000000007E-2"/>
    <n v="14.19"/>
    <n v="112.53"/>
    <n v="8.8000000000000007"/>
    <n v="42.13"/>
    <n v="18299.62"/>
    <d v="2020-01-27T00:00:00"/>
    <s v="Sí"/>
  </r>
  <r>
    <s v="TUR10044"/>
    <s v="EMP6881"/>
    <x v="50"/>
    <x v="3"/>
    <s v="Técnico de RRHH"/>
    <x v="3"/>
    <x v="2"/>
    <n v="6"/>
    <s v="Masculino"/>
    <d v="2024-10-21T00:00:00"/>
    <s v="2024-10"/>
    <x v="1"/>
    <n v="6"/>
    <x v="2"/>
    <n v="8"/>
    <n v="0"/>
    <n v="-8"/>
    <n v="23.22"/>
    <n v="0"/>
    <n v="8.8000000000000007"/>
    <n v="-70.400000000000006"/>
    <n v="18299.62"/>
    <d v="2020-01-27T00:00:00"/>
    <s v="Sí"/>
  </r>
  <r>
    <s v="TUR10143"/>
    <s v="EMP6881"/>
    <x v="50"/>
    <x v="3"/>
    <s v="Técnico de RRHH"/>
    <x v="3"/>
    <x v="2"/>
    <n v="6"/>
    <s v="Masculino"/>
    <d v="2024-07-31T00:00:00"/>
    <s v="2024-07"/>
    <x v="0"/>
    <n v="8"/>
    <x v="0"/>
    <n v="8"/>
    <n v="8.18"/>
    <n v="0.18"/>
    <n v="17.690000000000001"/>
    <n v="144.69999999999999"/>
    <n v="8.8000000000000007"/>
    <n v="74.3"/>
    <n v="18299.62"/>
    <d v="2020-01-27T00:00:00"/>
    <s v="No"/>
  </r>
  <r>
    <s v="TUR10035"/>
    <s v="EMP4088"/>
    <x v="51"/>
    <x v="0"/>
    <s v="Gestor de Flota"/>
    <x v="3"/>
    <x v="1"/>
    <n v="1"/>
    <s v="Femenino"/>
    <d v="2024-11-04T00:00:00"/>
    <s v="2024-11"/>
    <x v="2"/>
    <n v="22"/>
    <x v="1"/>
    <n v="8"/>
    <n v="0"/>
    <n v="-8"/>
    <n v="21.46"/>
    <n v="0"/>
    <n v="12.93"/>
    <n v="-103.44"/>
    <n v="26904.65"/>
    <d v="2024-07-18T00:00:00"/>
    <s v="Pendiente"/>
  </r>
  <r>
    <s v="TUR10037"/>
    <s v="EMP6582"/>
    <x v="52"/>
    <x v="5"/>
    <s v="Técnico de Calidad"/>
    <x v="1"/>
    <x v="3"/>
    <n v="4"/>
    <s v="Masculino"/>
    <d v="2024-08-03T00:00:00"/>
    <s v="2024-08"/>
    <x v="3"/>
    <n v="14"/>
    <x v="0"/>
    <n v="8"/>
    <n v="8.09"/>
    <n v="0.09"/>
    <n v="19.66"/>
    <n v="159.05000000000001"/>
    <n v="17.399999999999999"/>
    <n v="19.850000000000001"/>
    <n v="36194.620000000003"/>
    <d v="2021-09-08T00:00:00"/>
    <s v="Pendiente"/>
  </r>
  <r>
    <s v="TUR10108"/>
    <s v="EMP6582"/>
    <x v="52"/>
    <x v="5"/>
    <s v="Técnico de Calidad"/>
    <x v="1"/>
    <x v="3"/>
    <n v="4"/>
    <s v="Masculino"/>
    <d v="2024-07-08T00:00:00"/>
    <s v="2024-07"/>
    <x v="1"/>
    <n v="6"/>
    <x v="0"/>
    <n v="8"/>
    <n v="7.96"/>
    <n v="-0.04"/>
    <n v="19.68"/>
    <n v="156.65"/>
    <n v="17.399999999999999"/>
    <n v="17.45"/>
    <n v="36194.620000000003"/>
    <d v="2021-09-08T00:00:00"/>
    <s v="Sí"/>
  </r>
  <r>
    <s v="TUR10038"/>
    <s v="EMP8871"/>
    <x v="53"/>
    <x v="4"/>
    <s v="Operario de Producción"/>
    <x v="0"/>
    <x v="1"/>
    <n v="5"/>
    <s v="Femenino"/>
    <d v="2024-08-16T00:00:00"/>
    <s v="2024-08"/>
    <x v="0"/>
    <n v="8"/>
    <x v="1"/>
    <n v="8"/>
    <n v="0"/>
    <n v="-8"/>
    <n v="15.89"/>
    <n v="0"/>
    <n v="18.84"/>
    <n v="-150.72"/>
    <n v="39185.1"/>
    <d v="2020-12-29T00:00:00"/>
    <s v="No"/>
  </r>
  <r>
    <s v="TUR10211"/>
    <s v="EMP9561"/>
    <x v="54"/>
    <x v="3"/>
    <s v="Gestor de Nóminas"/>
    <x v="3"/>
    <x v="2"/>
    <n v="1"/>
    <s v="Masculino"/>
    <d v="2024-10-15T00:00:00"/>
    <s v="2024-10"/>
    <x v="1"/>
    <n v="6"/>
    <x v="0"/>
    <n v="8"/>
    <n v="8.0500000000000007"/>
    <n v="0.05"/>
    <n v="16.75"/>
    <n v="134.84"/>
    <n v="18.77"/>
    <n v="-15.32"/>
    <n v="39039.29"/>
    <d v="2024-08-01T00:00:00"/>
    <s v="Sí"/>
  </r>
  <r>
    <s v="TUR10040"/>
    <s v="EMP4613"/>
    <x v="55"/>
    <x v="1"/>
    <s v="Técnico Comercial"/>
    <x v="2"/>
    <x v="0"/>
    <n v="4"/>
    <s v="Masculino"/>
    <d v="2024-10-17T00:00:00"/>
    <s v="2024-10"/>
    <x v="0"/>
    <n v="8"/>
    <x v="0"/>
    <n v="8"/>
    <n v="8.32"/>
    <n v="0.32"/>
    <n v="24.44"/>
    <n v="203.34"/>
    <n v="22.54"/>
    <n v="23.02"/>
    <n v="46887.39"/>
    <d v="2021-10-01T00:00:00"/>
    <s v="No"/>
  </r>
  <r>
    <s v="TUR10220"/>
    <s v="EMP4613"/>
    <x v="55"/>
    <x v="1"/>
    <s v="Técnico Comercial"/>
    <x v="2"/>
    <x v="0"/>
    <n v="4"/>
    <s v="Masculino"/>
    <d v="2024-12-25T00:00:00"/>
    <s v="2024-12"/>
    <x v="3"/>
    <n v="14"/>
    <x v="0"/>
    <n v="8"/>
    <n v="8.32"/>
    <n v="0.32"/>
    <n v="20.98"/>
    <n v="174.55"/>
    <n v="22.54"/>
    <n v="-5.77"/>
    <n v="46887.39"/>
    <d v="2021-10-01T00:00:00"/>
    <s v="No"/>
  </r>
  <r>
    <s v="TUR10089"/>
    <s v="EMP3441"/>
    <x v="56"/>
    <x v="0"/>
    <s v="Coordinador Logístico"/>
    <x v="2"/>
    <x v="2"/>
    <n v="4"/>
    <s v="Masculino"/>
    <d v="2024-10-12T00:00:00"/>
    <s v="2024-10"/>
    <x v="1"/>
    <n v="6"/>
    <x v="3"/>
    <n v="8"/>
    <n v="5.58"/>
    <n v="-2.42"/>
    <n v="23.55"/>
    <n v="131.41"/>
    <n v="16.47"/>
    <n v="-0.35"/>
    <n v="34248.68"/>
    <d v="2022-04-18T00:00:00"/>
    <s v="No"/>
  </r>
  <r>
    <s v="TUR10041"/>
    <s v="EMP9515"/>
    <x v="57"/>
    <x v="5"/>
    <s v="Auditor Interno"/>
    <x v="1"/>
    <x v="1"/>
    <n v="4"/>
    <s v="Masculino"/>
    <d v="2024-09-22T00:00:00"/>
    <s v="2024-09"/>
    <x v="0"/>
    <n v="8"/>
    <x v="1"/>
    <n v="8"/>
    <n v="0"/>
    <n v="-8"/>
    <n v="25"/>
    <n v="0"/>
    <n v="17.64"/>
    <n v="-141.12"/>
    <n v="36700.83"/>
    <d v="2021-05-07T00:00:00"/>
    <s v="No"/>
  </r>
  <r>
    <s v="TUR10112"/>
    <s v="EMP9515"/>
    <x v="57"/>
    <x v="5"/>
    <s v="Auditor Interno"/>
    <x v="1"/>
    <x v="1"/>
    <n v="4"/>
    <s v="Masculino"/>
    <d v="2024-12-30T00:00:00"/>
    <s v="2024-12"/>
    <x v="3"/>
    <n v="14"/>
    <x v="0"/>
    <n v="8"/>
    <n v="7.9"/>
    <n v="-0.1"/>
    <n v="24.33"/>
    <n v="192.21"/>
    <n v="17.64"/>
    <n v="51.09"/>
    <n v="36700.83"/>
    <d v="2021-05-07T00:00:00"/>
    <s v="No"/>
  </r>
  <r>
    <s v="TUR10197"/>
    <s v="EMP9515"/>
    <x v="57"/>
    <x v="5"/>
    <s v="Auditor Interno"/>
    <x v="1"/>
    <x v="1"/>
    <n v="4"/>
    <s v="Masculino"/>
    <d v="2024-11-27T00:00:00"/>
    <s v="2024-11"/>
    <x v="3"/>
    <n v="14"/>
    <x v="2"/>
    <n v="8"/>
    <n v="0"/>
    <n v="-8"/>
    <n v="21.86"/>
    <n v="0"/>
    <n v="17.64"/>
    <n v="-141.12"/>
    <n v="36700.83"/>
    <d v="2021-05-07T00:00:00"/>
    <s v="Sí"/>
  </r>
  <r>
    <s v="TUR10042"/>
    <s v="EMP8291"/>
    <x v="58"/>
    <x v="2"/>
    <s v="Técnico Informático"/>
    <x v="3"/>
    <x v="0"/>
    <n v="2"/>
    <s v="Masculino"/>
    <d v="2024-10-21T00:00:00"/>
    <s v="2024-10"/>
    <x v="2"/>
    <n v="22"/>
    <x v="0"/>
    <n v="8"/>
    <n v="8.31"/>
    <n v="0.31"/>
    <n v="13.79"/>
    <n v="114.59"/>
    <n v="17.149999999999999"/>
    <n v="-22.61"/>
    <n v="35674.910000000003"/>
    <d v="2023-08-22T00:00:00"/>
    <s v="Sí"/>
  </r>
  <r>
    <s v="TUR10096"/>
    <s v="EMP8291"/>
    <x v="58"/>
    <x v="2"/>
    <s v="Técnico Informático"/>
    <x v="3"/>
    <x v="0"/>
    <n v="2"/>
    <s v="Masculino"/>
    <d v="2024-11-14T00:00:00"/>
    <s v="2024-11"/>
    <x v="1"/>
    <n v="6"/>
    <x v="2"/>
    <n v="8"/>
    <n v="0"/>
    <n v="-8"/>
    <n v="25.98"/>
    <n v="0"/>
    <n v="17.149999999999999"/>
    <n v="-137.19999999999999"/>
    <n v="35674.910000000003"/>
    <d v="2023-08-22T00:00:00"/>
    <s v="No"/>
  </r>
  <r>
    <s v="TUR10078"/>
    <s v="EMP6460"/>
    <x v="59"/>
    <x v="7"/>
    <s v="Auxiliar Administrativo"/>
    <x v="3"/>
    <x v="3"/>
    <n v="6"/>
    <s v="Masculino"/>
    <d v="2024-12-04T00:00:00"/>
    <s v="2024-12"/>
    <x v="1"/>
    <n v="6"/>
    <x v="0"/>
    <n v="8"/>
    <n v="7.79"/>
    <n v="-0.21"/>
    <n v="25.7"/>
    <n v="200.2"/>
    <n v="13.78"/>
    <n v="89.96"/>
    <n v="28664.06"/>
    <d v="2019-08-16T00:00:00"/>
    <s v="Sí"/>
  </r>
  <r>
    <s v="TUR10152"/>
    <s v="EMP6460"/>
    <x v="59"/>
    <x v="7"/>
    <s v="Auxiliar Administrativo"/>
    <x v="3"/>
    <x v="3"/>
    <n v="6"/>
    <s v="Masculino"/>
    <d v="2024-09-18T00:00:00"/>
    <s v="2024-09"/>
    <x v="0"/>
    <n v="8"/>
    <x v="0"/>
    <n v="8"/>
    <n v="8.0399999999999991"/>
    <n v="0.04"/>
    <n v="14.19"/>
    <n v="114.09"/>
    <n v="13.78"/>
    <n v="3.85"/>
    <n v="28664.06"/>
    <d v="2019-08-16T00:00:00"/>
    <s v="No"/>
  </r>
  <r>
    <s v="TUR10049"/>
    <s v="EMP6091"/>
    <x v="60"/>
    <x v="4"/>
    <s v="Operario de Producción"/>
    <x v="0"/>
    <x v="1"/>
    <n v="2"/>
    <s v="Femenino"/>
    <d v="2024-08-14T00:00:00"/>
    <s v="2024-08"/>
    <x v="1"/>
    <n v="6"/>
    <x v="0"/>
    <n v="8"/>
    <n v="7.84"/>
    <n v="-0.16"/>
    <n v="13.98"/>
    <n v="109.6"/>
    <n v="16.86"/>
    <n v="-25.28"/>
    <n v="35073.57"/>
    <d v="2024-04-06T00:00:00"/>
    <s v="Sí"/>
  </r>
  <r>
    <s v="TUR10045"/>
    <s v="EMP8231"/>
    <x v="61"/>
    <x v="6"/>
    <s v="Operario de Carretilla"/>
    <x v="0"/>
    <x v="2"/>
    <n v="1"/>
    <s v="Masculino"/>
    <d v="2024-10-06T00:00:00"/>
    <s v="2024-10"/>
    <x v="3"/>
    <n v="14"/>
    <x v="3"/>
    <n v="8"/>
    <n v="6.88"/>
    <n v="-1.1200000000000001"/>
    <n v="18.61"/>
    <n v="128.04"/>
    <n v="24.22"/>
    <n v="-65.72"/>
    <n v="50367.96"/>
    <d v="2024-09-27T00:00:00"/>
    <s v="Sí"/>
  </r>
  <r>
    <s v="TUR10106"/>
    <s v="EMP3369"/>
    <x v="62"/>
    <x v="7"/>
    <s v="Administrativo"/>
    <x v="2"/>
    <x v="3"/>
    <n v="5"/>
    <s v="Femenino"/>
    <d v="2024-07-29T00:00:00"/>
    <s v="2024-07"/>
    <x v="2"/>
    <n v="22"/>
    <x v="0"/>
    <n v="8"/>
    <n v="8.27"/>
    <n v="0.27"/>
    <n v="27.41"/>
    <n v="226.68"/>
    <n v="14.7"/>
    <n v="109.08"/>
    <n v="30575.38"/>
    <d v="2020-07-03T00:00:00"/>
    <s v="No"/>
  </r>
  <r>
    <s v="TUR10077"/>
    <s v="EMP9229"/>
    <x v="63"/>
    <x v="5"/>
    <s v="Técnico de Calidad"/>
    <x v="3"/>
    <x v="1"/>
    <n v="3"/>
    <s v="Masculino"/>
    <d v="2024-07-28T00:00:00"/>
    <s v="2024-07"/>
    <x v="2"/>
    <n v="22"/>
    <x v="0"/>
    <n v="8"/>
    <n v="8.49"/>
    <n v="0.49"/>
    <n v="18.21"/>
    <n v="154.6"/>
    <n v="21.51"/>
    <n v="-17.48"/>
    <n v="44730.42"/>
    <d v="2022-08-16T00:00:00"/>
    <s v="Sí"/>
  </r>
  <r>
    <s v="TUR10125"/>
    <s v="EMP9229"/>
    <x v="63"/>
    <x v="5"/>
    <s v="Técnico de Calidad"/>
    <x v="3"/>
    <x v="1"/>
    <n v="3"/>
    <s v="Masculino"/>
    <d v="2024-10-14T00:00:00"/>
    <s v="2024-10"/>
    <x v="1"/>
    <n v="6"/>
    <x v="0"/>
    <n v="8"/>
    <n v="8.42"/>
    <n v="0.42"/>
    <n v="11.39"/>
    <n v="95.9"/>
    <n v="21.51"/>
    <n v="-76.180000000000007"/>
    <n v="44730.42"/>
    <d v="2022-08-16T00:00:00"/>
    <s v="No"/>
  </r>
  <r>
    <s v="TUR10173"/>
    <s v="EMP9229"/>
    <x v="63"/>
    <x v="5"/>
    <s v="Técnico de Calidad"/>
    <x v="3"/>
    <x v="1"/>
    <n v="3"/>
    <s v="Masculino"/>
    <d v="2024-12-05T00:00:00"/>
    <s v="2024-12"/>
    <x v="1"/>
    <n v="6"/>
    <x v="0"/>
    <n v="8"/>
    <n v="8.1199999999999992"/>
    <n v="0.12"/>
    <n v="11.6"/>
    <n v="94.19"/>
    <n v="21.51"/>
    <n v="-77.89"/>
    <n v="44730.42"/>
    <d v="2022-08-16T00:00:00"/>
    <s v="No"/>
  </r>
  <r>
    <s v="TUR10177"/>
    <s v="EMP7141"/>
    <x v="64"/>
    <x v="4"/>
    <s v="Supervisor de Línea"/>
    <x v="0"/>
    <x v="0"/>
    <n v="4"/>
    <s v="Femenino"/>
    <d v="2024-07-05T00:00:00"/>
    <s v="2024-07"/>
    <x v="1"/>
    <n v="6"/>
    <x v="0"/>
    <n v="8"/>
    <n v="8.1999999999999993"/>
    <n v="0.2"/>
    <n v="22.64"/>
    <n v="185.65"/>
    <n v="11.77"/>
    <n v="91.49"/>
    <n v="24477.57"/>
    <d v="2021-07-03T00:00:00"/>
    <s v="No"/>
  </r>
  <r>
    <s v="TUR10183"/>
    <s v="EMP7141"/>
    <x v="64"/>
    <x v="4"/>
    <s v="Supervisor de Línea"/>
    <x v="0"/>
    <x v="0"/>
    <n v="4"/>
    <s v="Femenino"/>
    <d v="2024-12-25T00:00:00"/>
    <s v="2024-12"/>
    <x v="3"/>
    <n v="14"/>
    <x v="3"/>
    <n v="8"/>
    <n v="6.47"/>
    <n v="-1.53"/>
    <n v="23.12"/>
    <n v="149.59"/>
    <n v="11.77"/>
    <n v="55.43"/>
    <n v="24477.57"/>
    <d v="2021-07-03T00:00:00"/>
    <s v="No"/>
  </r>
  <r>
    <s v="TUR10050"/>
    <s v="EMP7636"/>
    <x v="65"/>
    <x v="5"/>
    <s v="Auditor Interno"/>
    <x v="2"/>
    <x v="1"/>
    <n v="1"/>
    <s v="Masculino"/>
    <d v="2024-10-10T00:00:00"/>
    <s v="2024-10"/>
    <x v="0"/>
    <n v="8"/>
    <x v="0"/>
    <n v="8"/>
    <n v="7.88"/>
    <n v="-0.12"/>
    <n v="17.43"/>
    <n v="137.35"/>
    <n v="16.420000000000002"/>
    <n v="5.99"/>
    <n v="34158.339999999997"/>
    <d v="2024-04-30T00:00:00"/>
    <s v="Sí"/>
  </r>
  <r>
    <s v="TUR10133"/>
    <s v="EMP7636"/>
    <x v="65"/>
    <x v="5"/>
    <s v="Auditor Interno"/>
    <x v="2"/>
    <x v="1"/>
    <n v="1"/>
    <s v="Masculino"/>
    <d v="2024-07-16T00:00:00"/>
    <s v="2024-07"/>
    <x v="3"/>
    <n v="14"/>
    <x v="0"/>
    <n v="8"/>
    <n v="7.81"/>
    <n v="-0.19"/>
    <n v="12.5"/>
    <n v="97.62"/>
    <n v="16.420000000000002"/>
    <n v="-33.74"/>
    <n v="34158.339999999997"/>
    <d v="2024-04-30T00:00:00"/>
    <s v="No"/>
  </r>
  <r>
    <s v="TUR10102"/>
    <s v="EMP8622"/>
    <x v="66"/>
    <x v="7"/>
    <s v="Administrativo"/>
    <x v="3"/>
    <x v="2"/>
    <n v="3"/>
    <s v="Femenino"/>
    <d v="2024-11-29T00:00:00"/>
    <s v="2024-11"/>
    <x v="1"/>
    <n v="6"/>
    <x v="1"/>
    <n v="8"/>
    <n v="0"/>
    <n v="-8"/>
    <n v="10.71"/>
    <n v="0"/>
    <n v="26.22"/>
    <n v="-209.76"/>
    <n v="54543.11"/>
    <d v="2023-03-31T00:00:00"/>
    <s v="No"/>
  </r>
  <r>
    <s v="TUR10051"/>
    <s v="EMP8307"/>
    <x v="67"/>
    <x v="1"/>
    <s v="Técnico Comercial"/>
    <x v="2"/>
    <x v="3"/>
    <n v="4"/>
    <s v="Femenino"/>
    <d v="2024-07-09T00:00:00"/>
    <s v="2024-07"/>
    <x v="0"/>
    <n v="8"/>
    <x v="0"/>
    <n v="8"/>
    <n v="7.87"/>
    <n v="-0.13"/>
    <n v="13.26"/>
    <n v="104.36"/>
    <n v="15.98"/>
    <n v="-23.48"/>
    <n v="33243.71"/>
    <d v="2021-11-01T00:00:00"/>
    <s v="No"/>
  </r>
  <r>
    <s v="TUR10190"/>
    <s v="EMP8307"/>
    <x v="67"/>
    <x v="1"/>
    <s v="Técnico Comercial"/>
    <x v="2"/>
    <x v="3"/>
    <n v="4"/>
    <s v="Femenino"/>
    <d v="2024-08-03T00:00:00"/>
    <s v="2024-08"/>
    <x v="3"/>
    <n v="14"/>
    <x v="1"/>
    <n v="8"/>
    <n v="0"/>
    <n v="-8"/>
    <n v="17.809999999999999"/>
    <n v="0"/>
    <n v="15.98"/>
    <n v="-127.84"/>
    <n v="33243.71"/>
    <d v="2021-11-01T00:00:00"/>
    <s v="Sí"/>
  </r>
  <r>
    <s v="TUR10052"/>
    <s v="EMP4441"/>
    <x v="68"/>
    <x v="2"/>
    <s v="Técnico Informático"/>
    <x v="3"/>
    <x v="0"/>
    <n v="2"/>
    <s v="Femenino"/>
    <d v="2024-12-17T00:00:00"/>
    <s v="2024-12"/>
    <x v="1"/>
    <n v="6"/>
    <x v="2"/>
    <n v="8"/>
    <n v="0"/>
    <n v="-8"/>
    <n v="12.7"/>
    <n v="0"/>
    <n v="11.52"/>
    <n v="-92.16"/>
    <n v="23955.31"/>
    <d v="2023-09-07T00:00:00"/>
    <s v="No"/>
  </r>
  <r>
    <s v="TUR10198"/>
    <s v="EMP4441"/>
    <x v="68"/>
    <x v="2"/>
    <s v="Técnico Informático"/>
    <x v="3"/>
    <x v="0"/>
    <n v="2"/>
    <s v="Femenino"/>
    <d v="2024-10-11T00:00:00"/>
    <s v="2024-10"/>
    <x v="3"/>
    <n v="14"/>
    <x v="2"/>
    <n v="8"/>
    <n v="0"/>
    <n v="-8"/>
    <n v="15.35"/>
    <n v="0"/>
    <n v="11.52"/>
    <n v="-92.16"/>
    <n v="23955.31"/>
    <d v="2023-09-07T00:00:00"/>
    <s v="No"/>
  </r>
  <r>
    <s v="TUR10057"/>
    <s v="EMP5465"/>
    <x v="69"/>
    <x v="3"/>
    <s v="Gestor de Nóminas"/>
    <x v="2"/>
    <x v="1"/>
    <n v="1"/>
    <s v="Masculino"/>
    <d v="2024-08-13T00:00:00"/>
    <s v="2024-08"/>
    <x v="0"/>
    <n v="8"/>
    <x v="1"/>
    <n v="8"/>
    <n v="0"/>
    <n v="-8"/>
    <n v="16.149999999999999"/>
    <n v="0"/>
    <n v="16.98"/>
    <n v="-135.84"/>
    <n v="35328.26"/>
    <d v="2024-07-01T00:00:00"/>
    <s v="No"/>
  </r>
  <r>
    <s v="TUR10090"/>
    <s v="EMP5465"/>
    <x v="69"/>
    <x v="3"/>
    <s v="Gestor de Nóminas"/>
    <x v="2"/>
    <x v="1"/>
    <n v="1"/>
    <s v="Masculino"/>
    <d v="2024-11-29T00:00:00"/>
    <s v="2024-11"/>
    <x v="1"/>
    <n v="6"/>
    <x v="1"/>
    <n v="8"/>
    <n v="0"/>
    <n v="-8"/>
    <n v="21.1"/>
    <n v="0"/>
    <n v="16.98"/>
    <n v="-135.84"/>
    <n v="35328.26"/>
    <d v="2024-07-01T00:00:00"/>
    <s v="Sí"/>
  </r>
  <r>
    <s v="TUR10054"/>
    <s v="EMP3527"/>
    <x v="70"/>
    <x v="2"/>
    <s v="Técnico Informático"/>
    <x v="1"/>
    <x v="1"/>
    <n v="3"/>
    <s v="Masculino"/>
    <d v="2024-08-16T00:00:00"/>
    <s v="2024-08"/>
    <x v="2"/>
    <n v="22"/>
    <x v="0"/>
    <n v="8"/>
    <n v="8.1199999999999992"/>
    <n v="0.12"/>
    <n v="20.010000000000002"/>
    <n v="162.47999999999999"/>
    <n v="25.43"/>
    <n v="-40.96"/>
    <n v="52889.53"/>
    <d v="2022-06-06T00:00:00"/>
    <s v="No"/>
  </r>
  <r>
    <s v="TUR10207"/>
    <s v="EMP3527"/>
    <x v="70"/>
    <x v="2"/>
    <s v="Técnico Informático"/>
    <x v="1"/>
    <x v="1"/>
    <n v="3"/>
    <s v="Masculino"/>
    <d v="2024-09-29T00:00:00"/>
    <s v="2024-09"/>
    <x v="2"/>
    <n v="22"/>
    <x v="1"/>
    <n v="8"/>
    <n v="0"/>
    <n v="-8"/>
    <n v="22.15"/>
    <n v="0"/>
    <n v="25.43"/>
    <n v="-203.44"/>
    <n v="52889.53"/>
    <d v="2022-06-06T00:00:00"/>
    <s v="Sí"/>
  </r>
  <r>
    <s v="TUR10062"/>
    <s v="EMP7038"/>
    <x v="71"/>
    <x v="3"/>
    <s v="Gestor de Nóminas"/>
    <x v="3"/>
    <x v="2"/>
    <n v="2"/>
    <s v="Masculino"/>
    <d v="2024-08-09T00:00:00"/>
    <s v="2024-08"/>
    <x v="3"/>
    <n v="14"/>
    <x v="0"/>
    <n v="8"/>
    <n v="8.4600000000000009"/>
    <n v="0.46"/>
    <n v="23.56"/>
    <n v="199.32"/>
    <n v="10.58"/>
    <n v="114.68"/>
    <n v="22008.81"/>
    <d v="2023-08-12T00:00:00"/>
    <s v="No"/>
  </r>
  <r>
    <s v="TUR10111"/>
    <s v="EMP7038"/>
    <x v="71"/>
    <x v="3"/>
    <s v="Gestor de Nóminas"/>
    <x v="3"/>
    <x v="2"/>
    <n v="2"/>
    <s v="Masculino"/>
    <d v="2024-12-02T00:00:00"/>
    <s v="2024-12"/>
    <x v="1"/>
    <n v="6"/>
    <x v="0"/>
    <n v="8"/>
    <n v="8.1"/>
    <n v="0.1"/>
    <n v="24.49"/>
    <n v="198.37"/>
    <n v="10.58"/>
    <n v="113.73"/>
    <n v="22008.81"/>
    <d v="2023-08-12T00:00:00"/>
    <s v="No"/>
  </r>
  <r>
    <s v="TUR10169"/>
    <s v="EMP7038"/>
    <x v="71"/>
    <x v="3"/>
    <s v="Gestor de Nóminas"/>
    <x v="3"/>
    <x v="2"/>
    <n v="2"/>
    <s v="Masculino"/>
    <d v="2024-08-03T00:00:00"/>
    <s v="2024-08"/>
    <x v="1"/>
    <n v="6"/>
    <x v="1"/>
    <n v="8"/>
    <n v="0"/>
    <n v="-8"/>
    <n v="11.6"/>
    <n v="0"/>
    <n v="10.58"/>
    <n v="-84.64"/>
    <n v="22008.81"/>
    <d v="2023-08-12T00:00:00"/>
    <s v="No"/>
  </r>
  <r>
    <s v="TUR10181"/>
    <s v="EMP7038"/>
    <x v="71"/>
    <x v="3"/>
    <s v="Gestor de Nóminas"/>
    <x v="3"/>
    <x v="2"/>
    <n v="2"/>
    <s v="Masculino"/>
    <d v="2024-11-24T00:00:00"/>
    <s v="2024-11"/>
    <x v="1"/>
    <n v="6"/>
    <x v="0"/>
    <n v="8"/>
    <n v="8.3800000000000008"/>
    <n v="0.38"/>
    <n v="13.59"/>
    <n v="113.88"/>
    <n v="10.58"/>
    <n v="29.24"/>
    <n v="22008.81"/>
    <d v="2023-08-12T00:00:00"/>
    <s v="Sí"/>
  </r>
  <r>
    <s v="TUR10212"/>
    <s v="EMP7038"/>
    <x v="71"/>
    <x v="3"/>
    <s v="Gestor de Nóminas"/>
    <x v="3"/>
    <x v="2"/>
    <n v="2"/>
    <s v="Masculino"/>
    <d v="2024-10-22T00:00:00"/>
    <s v="2024-10"/>
    <x v="3"/>
    <n v="14"/>
    <x v="1"/>
    <n v="8"/>
    <n v="0"/>
    <n v="-8"/>
    <n v="19.920000000000002"/>
    <n v="0"/>
    <n v="10.58"/>
    <n v="-84.64"/>
    <n v="22008.81"/>
    <d v="2023-08-12T00:00:00"/>
    <s v="Sí"/>
  </r>
  <r>
    <s v="TUR10055"/>
    <s v="EMP6754"/>
    <x v="72"/>
    <x v="5"/>
    <s v="Auditor Interno"/>
    <x v="0"/>
    <x v="0"/>
    <n v="5"/>
    <s v="Masculino"/>
    <d v="2024-12-15T00:00:00"/>
    <s v="2024-12"/>
    <x v="3"/>
    <n v="14"/>
    <x v="0"/>
    <n v="8"/>
    <n v="7.87"/>
    <n v="-0.13"/>
    <n v="19.98"/>
    <n v="157.24"/>
    <n v="16.68"/>
    <n v="23.8"/>
    <n v="34697.629999999997"/>
    <d v="2020-06-10T00:00:00"/>
    <s v="Sí"/>
  </r>
  <r>
    <s v="TUR10064"/>
    <s v="EMP6754"/>
    <x v="72"/>
    <x v="5"/>
    <s v="Auditor Interno"/>
    <x v="0"/>
    <x v="0"/>
    <n v="5"/>
    <s v="Masculino"/>
    <d v="2024-10-03T00:00:00"/>
    <s v="2024-10"/>
    <x v="0"/>
    <n v="8"/>
    <x v="2"/>
    <n v="8"/>
    <n v="0"/>
    <n v="-8"/>
    <n v="25.28"/>
    <n v="0"/>
    <n v="16.68"/>
    <n v="-133.44"/>
    <n v="34697.629999999997"/>
    <d v="2020-06-10T00:00:00"/>
    <s v="No"/>
  </r>
  <r>
    <s v="TUR10056"/>
    <s v="EMP8996"/>
    <x v="73"/>
    <x v="6"/>
    <s v="Operario de Carretilla"/>
    <x v="3"/>
    <x v="2"/>
    <n v="5"/>
    <s v="Masculino"/>
    <d v="2024-11-15T00:00:00"/>
    <s v="2024-11"/>
    <x v="0"/>
    <n v="8"/>
    <x v="0"/>
    <n v="8"/>
    <n v="8.2100000000000009"/>
    <n v="0.21"/>
    <n v="16.11"/>
    <n v="132.26"/>
    <n v="23.78"/>
    <n v="-57.98"/>
    <n v="49453.93"/>
    <d v="2020-06-17T00:00:00"/>
    <s v="Pendiente"/>
  </r>
  <r>
    <s v="TUR10059"/>
    <s v="EMP8035"/>
    <x v="74"/>
    <x v="3"/>
    <s v="Gestor de Nóminas"/>
    <x v="1"/>
    <x v="0"/>
    <n v="4"/>
    <s v="Masculino"/>
    <d v="2024-12-20T00:00:00"/>
    <s v="2024-12"/>
    <x v="2"/>
    <n v="22"/>
    <x v="2"/>
    <n v="8"/>
    <n v="0"/>
    <n v="-8"/>
    <n v="10.73"/>
    <n v="0"/>
    <n v="18.5"/>
    <n v="-148"/>
    <n v="38475.68"/>
    <d v="2021-07-23T00:00:00"/>
    <s v="No"/>
  </r>
  <r>
    <s v="TUR10145"/>
    <s v="EMP8035"/>
    <x v="74"/>
    <x v="3"/>
    <s v="Gestor de Nóminas"/>
    <x v="1"/>
    <x v="0"/>
    <n v="4"/>
    <s v="Masculino"/>
    <d v="2024-09-04T00:00:00"/>
    <s v="2024-09"/>
    <x v="2"/>
    <n v="22"/>
    <x v="0"/>
    <n v="8"/>
    <n v="7.81"/>
    <n v="-0.19"/>
    <n v="14.79"/>
    <n v="115.51"/>
    <n v="18.5"/>
    <n v="-32.49"/>
    <n v="38475.68"/>
    <d v="2021-07-23T00:00:00"/>
    <s v="Sí"/>
  </r>
  <r>
    <s v="TUR10061"/>
    <s v="EMP9370"/>
    <x v="75"/>
    <x v="0"/>
    <s v="Técnico de Transporte"/>
    <x v="3"/>
    <x v="3"/>
    <n v="5"/>
    <s v="Masculino"/>
    <d v="2024-10-16T00:00:00"/>
    <s v="2024-10"/>
    <x v="1"/>
    <n v="6"/>
    <x v="0"/>
    <n v="8"/>
    <n v="8.4600000000000009"/>
    <n v="0.46"/>
    <n v="12.27"/>
    <n v="103.8"/>
    <n v="25.67"/>
    <n v="-101.56"/>
    <n v="53397.97"/>
    <d v="2021-01-29T00:00:00"/>
    <s v="Pendiente"/>
  </r>
  <r>
    <s v="TUR10191"/>
    <s v="EMP9370"/>
    <x v="75"/>
    <x v="0"/>
    <s v="Técnico de Transporte"/>
    <x v="3"/>
    <x v="3"/>
    <n v="5"/>
    <s v="Masculino"/>
    <d v="2024-09-15T00:00:00"/>
    <s v="2024-09"/>
    <x v="1"/>
    <n v="6"/>
    <x v="0"/>
    <n v="8"/>
    <n v="8.0500000000000007"/>
    <n v="0.05"/>
    <n v="19.170000000000002"/>
    <n v="154.32"/>
    <n v="25.67"/>
    <n v="-51.04"/>
    <n v="53397.97"/>
    <d v="2021-01-29T00:00:00"/>
    <s v="Pendiente"/>
  </r>
  <r>
    <s v="TUR10063"/>
    <s v="EMP7305"/>
    <x v="76"/>
    <x v="0"/>
    <s v="Coordinador Logístico"/>
    <x v="0"/>
    <x v="3"/>
    <n v="6"/>
    <s v="Femenino"/>
    <d v="2024-12-06T00:00:00"/>
    <s v="2024-12"/>
    <x v="0"/>
    <n v="8"/>
    <x v="1"/>
    <n v="8"/>
    <n v="0"/>
    <n v="-8"/>
    <n v="19.329999999999998"/>
    <n v="0"/>
    <n v="23.81"/>
    <n v="-190.48"/>
    <n v="49519.23"/>
    <d v="2020-01-18T00:00:00"/>
    <s v="Sí"/>
  </r>
  <r>
    <s v="TUR10151"/>
    <s v="EMP7305"/>
    <x v="76"/>
    <x v="0"/>
    <s v="Coordinador Logístico"/>
    <x v="0"/>
    <x v="3"/>
    <n v="6"/>
    <s v="Femenino"/>
    <d v="2024-08-30T00:00:00"/>
    <s v="2024-08"/>
    <x v="3"/>
    <n v="14"/>
    <x v="1"/>
    <n v="8"/>
    <n v="0"/>
    <n v="-8"/>
    <n v="16.5"/>
    <n v="0"/>
    <n v="23.81"/>
    <n v="-190.48"/>
    <n v="49519.23"/>
    <d v="2020-01-18T00:00:00"/>
    <s v="Sí"/>
  </r>
  <r>
    <s v="TUR10091"/>
    <s v="EMP7062"/>
    <x v="77"/>
    <x v="6"/>
    <s v="Mozo de Almacén"/>
    <x v="0"/>
    <x v="0"/>
    <n v="1"/>
    <s v="Femenino"/>
    <d v="2024-10-02T00:00:00"/>
    <s v="2024-10"/>
    <x v="1"/>
    <n v="6"/>
    <x v="0"/>
    <n v="8"/>
    <n v="8.27"/>
    <n v="0.27"/>
    <n v="19.29"/>
    <n v="159.53"/>
    <n v="22.07"/>
    <n v="-17.03"/>
    <n v="45914.13"/>
    <d v="2024-08-23T00:00:00"/>
    <s v="No"/>
  </r>
  <r>
    <s v="TUR10065"/>
    <s v="EMP1981"/>
    <x v="78"/>
    <x v="5"/>
    <s v="Inspector de Calidad"/>
    <x v="0"/>
    <x v="2"/>
    <n v="3"/>
    <s v="Femenino"/>
    <d v="2024-08-10T00:00:00"/>
    <s v="2024-08"/>
    <x v="3"/>
    <n v="14"/>
    <x v="0"/>
    <n v="8"/>
    <n v="7.91"/>
    <n v="-0.09"/>
    <n v="16.8"/>
    <n v="132.88999999999999"/>
    <n v="19.45"/>
    <n v="-22.71"/>
    <n v="40446.43"/>
    <d v="2023-03-03T00:00:00"/>
    <s v="No"/>
  </r>
  <r>
    <s v="TUR10113"/>
    <s v="EMP1981"/>
    <x v="78"/>
    <x v="5"/>
    <s v="Inspector de Calidad"/>
    <x v="0"/>
    <x v="2"/>
    <n v="3"/>
    <s v="Femenino"/>
    <d v="2024-12-03T00:00:00"/>
    <s v="2024-12"/>
    <x v="1"/>
    <n v="6"/>
    <x v="0"/>
    <n v="8"/>
    <n v="8"/>
    <n v="0"/>
    <n v="25.06"/>
    <n v="200.48"/>
    <n v="19.45"/>
    <n v="44.88"/>
    <n v="40446.43"/>
    <d v="2023-03-03T00:00:00"/>
    <s v="No"/>
  </r>
  <r>
    <s v="TUR10176"/>
    <s v="EMP6179"/>
    <x v="79"/>
    <x v="5"/>
    <s v="Inspector de Calidad"/>
    <x v="2"/>
    <x v="2"/>
    <n v="3"/>
    <s v="Femenino"/>
    <d v="2024-11-28T00:00:00"/>
    <s v="2024-11"/>
    <x v="1"/>
    <n v="6"/>
    <x v="0"/>
    <n v="8"/>
    <n v="8.34"/>
    <n v="0.34"/>
    <n v="24.11"/>
    <n v="201.08"/>
    <n v="19.170000000000002"/>
    <n v="47.72"/>
    <n v="39882.53"/>
    <d v="2022-12-13T00:00:00"/>
    <s v="No"/>
  </r>
  <r>
    <s v="TUR10072"/>
    <s v="EMP8417"/>
    <x v="80"/>
    <x v="1"/>
    <s v="Comercial"/>
    <x v="1"/>
    <x v="0"/>
    <n v="3"/>
    <s v="Masculino"/>
    <d v="2024-10-10T00:00:00"/>
    <s v="2024-10"/>
    <x v="3"/>
    <n v="14"/>
    <x v="0"/>
    <n v="8"/>
    <n v="8.27"/>
    <n v="0.27"/>
    <n v="22.29"/>
    <n v="184.34"/>
    <n v="10.53"/>
    <n v="100.1"/>
    <n v="21909.34"/>
    <d v="2022-05-27T00:00:00"/>
    <s v="No"/>
  </r>
  <r>
    <s v="TUR10148"/>
    <s v="EMP8417"/>
    <x v="80"/>
    <x v="1"/>
    <s v="Comercial"/>
    <x v="1"/>
    <x v="0"/>
    <n v="3"/>
    <s v="Masculino"/>
    <d v="2024-12-17T00:00:00"/>
    <s v="2024-12"/>
    <x v="2"/>
    <n v="22"/>
    <x v="0"/>
    <n v="8"/>
    <n v="8.1"/>
    <n v="0.1"/>
    <n v="21.99"/>
    <n v="178.12"/>
    <n v="10.53"/>
    <n v="93.88"/>
    <n v="21909.34"/>
    <d v="2022-05-27T00:00:00"/>
    <s v="Sí"/>
  </r>
  <r>
    <s v="TUR10221"/>
    <s v="EMP3953"/>
    <x v="81"/>
    <x v="5"/>
    <s v="Técnico de Calidad"/>
    <x v="0"/>
    <x v="0"/>
    <n v="3"/>
    <s v="Masculino"/>
    <d v="2024-07-08T00:00:00"/>
    <s v="2024-07"/>
    <x v="0"/>
    <n v="8"/>
    <x v="0"/>
    <n v="8"/>
    <n v="7.84"/>
    <n v="-0.16"/>
    <n v="25.29"/>
    <n v="198.27"/>
    <n v="11.41"/>
    <n v="106.99"/>
    <n v="23732.97"/>
    <d v="2023-04-07T00:00:00"/>
    <s v="Sí"/>
  </r>
  <r>
    <s v="TUR10082"/>
    <s v="EMP8167"/>
    <x v="82"/>
    <x v="2"/>
    <s v="Técnico Informático"/>
    <x v="3"/>
    <x v="1"/>
    <n v="3"/>
    <s v="Femenino"/>
    <d v="2024-12-05T00:00:00"/>
    <s v="2024-12"/>
    <x v="2"/>
    <n v="22"/>
    <x v="0"/>
    <n v="8"/>
    <n v="7.97"/>
    <n v="-0.03"/>
    <n v="27.65"/>
    <n v="220.37"/>
    <n v="15.71"/>
    <n v="94.69"/>
    <n v="32668.799999999999"/>
    <d v="2022-10-29T00:00:00"/>
    <s v="Sí"/>
  </r>
  <r>
    <s v="TUR10182"/>
    <s v="EMP7338"/>
    <x v="83"/>
    <x v="0"/>
    <s v="Técnico de Transporte"/>
    <x v="1"/>
    <x v="2"/>
    <n v="5"/>
    <s v="Femenino"/>
    <d v="2024-09-12T00:00:00"/>
    <s v="2024-09"/>
    <x v="3"/>
    <n v="14"/>
    <x v="2"/>
    <n v="8"/>
    <n v="0"/>
    <n v="-8"/>
    <n v="11.26"/>
    <n v="0"/>
    <n v="12.94"/>
    <n v="-103.52"/>
    <n v="26921.66"/>
    <d v="2021-03-28T00:00:00"/>
    <s v="Sí"/>
  </r>
  <r>
    <s v="TUR10205"/>
    <s v="EMP3986"/>
    <x v="84"/>
    <x v="5"/>
    <s v="Técnico de Calidad"/>
    <x v="2"/>
    <x v="0"/>
    <n v="2"/>
    <s v="Femenino"/>
    <d v="2024-11-25T00:00:00"/>
    <s v="2024-11"/>
    <x v="1"/>
    <n v="6"/>
    <x v="2"/>
    <n v="8"/>
    <n v="0"/>
    <n v="-8"/>
    <n v="27.23"/>
    <n v="0"/>
    <n v="9.43"/>
    <n v="-75.44"/>
    <n v="19620.830000000002"/>
    <d v="2023-10-21T00:00:00"/>
    <s v="Sí"/>
  </r>
  <r>
    <s v="TUR10206"/>
    <s v="EMP3986"/>
    <x v="84"/>
    <x v="5"/>
    <s v="Técnico de Calidad"/>
    <x v="2"/>
    <x v="0"/>
    <n v="2"/>
    <s v="Femenino"/>
    <d v="2024-11-18T00:00:00"/>
    <s v="2024-11"/>
    <x v="3"/>
    <n v="14"/>
    <x v="0"/>
    <n v="8"/>
    <n v="8.2799999999999994"/>
    <n v="0.28000000000000003"/>
    <n v="14.66"/>
    <n v="121.38"/>
    <n v="9.43"/>
    <n v="45.94"/>
    <n v="19620.830000000002"/>
    <d v="2023-10-21T00:00:00"/>
    <s v="No"/>
  </r>
  <r>
    <s v="TUR10195"/>
    <s v="EMP8055"/>
    <x v="85"/>
    <x v="3"/>
    <s v="Responsable de RRHH"/>
    <x v="1"/>
    <x v="1"/>
    <n v="3"/>
    <s v="Masculino"/>
    <d v="2024-10-24T00:00:00"/>
    <s v="2024-10"/>
    <x v="0"/>
    <n v="8"/>
    <x v="0"/>
    <n v="8"/>
    <n v="8.4600000000000009"/>
    <n v="0.46"/>
    <n v="24.28"/>
    <n v="205.41"/>
    <n v="14.49"/>
    <n v="89.49"/>
    <n v="30133.040000000001"/>
    <d v="2023-04-07T00:00:00"/>
    <s v="No"/>
  </r>
  <r>
    <s v="TUR10083"/>
    <s v="EMP8389"/>
    <x v="86"/>
    <x v="0"/>
    <s v="Técnico de Transporte"/>
    <x v="0"/>
    <x v="0"/>
    <n v="4"/>
    <s v="Masculino"/>
    <d v="2024-11-15T00:00:00"/>
    <s v="2024-11"/>
    <x v="1"/>
    <n v="6"/>
    <x v="1"/>
    <n v="8"/>
    <n v="0"/>
    <n v="-8"/>
    <n v="20.309999999999999"/>
    <n v="0"/>
    <n v="23.16"/>
    <n v="-185.28"/>
    <n v="48162.99"/>
    <d v="2021-10-09T00:00:00"/>
    <s v="Sí"/>
  </r>
  <r>
    <s v="TUR10199"/>
    <s v="EMP8389"/>
    <x v="86"/>
    <x v="0"/>
    <s v="Técnico de Transporte"/>
    <x v="0"/>
    <x v="0"/>
    <n v="4"/>
    <s v="Masculino"/>
    <d v="2024-09-03T00:00:00"/>
    <s v="2024-09"/>
    <x v="1"/>
    <n v="6"/>
    <x v="0"/>
    <n v="8"/>
    <n v="8.15"/>
    <n v="0.15"/>
    <n v="18.41"/>
    <n v="150.04"/>
    <n v="23.16"/>
    <n v="-35.24"/>
    <n v="48162.99"/>
    <d v="2021-10-09T00:00:00"/>
    <s v="Sí"/>
  </r>
  <r>
    <s v="TUR10168"/>
    <s v="EMP1939"/>
    <x v="87"/>
    <x v="4"/>
    <s v="Técnico de Producción"/>
    <x v="0"/>
    <x v="1"/>
    <n v="4"/>
    <s v="Masculino"/>
    <d v="2024-12-05T00:00:00"/>
    <s v="2024-12"/>
    <x v="0"/>
    <n v="8"/>
    <x v="0"/>
    <n v="8"/>
    <n v="8.27"/>
    <n v="0.27"/>
    <n v="25.99"/>
    <n v="214.94"/>
    <n v="11.19"/>
    <n v="125.42"/>
    <n v="23282.84"/>
    <d v="2021-07-07T00:00:00"/>
    <s v="Sí"/>
  </r>
  <r>
    <s v="TUR10085"/>
    <s v="EMP3174"/>
    <x v="88"/>
    <x v="2"/>
    <s v="Técnico Informático"/>
    <x v="3"/>
    <x v="3"/>
    <n v="4"/>
    <s v="Masculino"/>
    <d v="2024-12-17T00:00:00"/>
    <s v="2024-12"/>
    <x v="2"/>
    <n v="22"/>
    <x v="0"/>
    <n v="8"/>
    <n v="7.94"/>
    <n v="-0.06"/>
    <n v="27.02"/>
    <n v="214.54"/>
    <n v="11.18"/>
    <n v="125.1"/>
    <n v="23260.35"/>
    <d v="2021-05-17T00:00:00"/>
    <s v="Sí"/>
  </r>
  <r>
    <s v="TUR10086"/>
    <s v="EMP1924"/>
    <x v="89"/>
    <x v="1"/>
    <s v="Técnico Comercial"/>
    <x v="2"/>
    <x v="2"/>
    <n v="6"/>
    <s v="Masculino"/>
    <d v="2024-12-10T00:00:00"/>
    <s v="2024-12"/>
    <x v="3"/>
    <n v="14"/>
    <x v="0"/>
    <n v="8"/>
    <n v="8.0399999999999991"/>
    <n v="0.04"/>
    <n v="17.8"/>
    <n v="143.11000000000001"/>
    <n v="12.87"/>
    <n v="40.15"/>
    <n v="26765.45"/>
    <d v="2020-01-04T00:00:00"/>
    <s v="Sí"/>
  </r>
  <r>
    <s v="TUR10213"/>
    <s v="EMP1924"/>
    <x v="89"/>
    <x v="1"/>
    <s v="Técnico Comercial"/>
    <x v="2"/>
    <x v="2"/>
    <n v="6"/>
    <s v="Masculino"/>
    <d v="2024-08-29T00:00:00"/>
    <s v="2024-08"/>
    <x v="3"/>
    <n v="14"/>
    <x v="2"/>
    <n v="8"/>
    <n v="0"/>
    <n v="-8"/>
    <n v="26.4"/>
    <n v="0"/>
    <n v="12.87"/>
    <n v="-102.96"/>
    <n v="26765.45"/>
    <d v="2020-01-04T00:00:00"/>
    <s v="No"/>
  </r>
  <r>
    <s v="TUR10193"/>
    <s v="EMP3852"/>
    <x v="90"/>
    <x v="6"/>
    <s v="Mozo de Almacén"/>
    <x v="0"/>
    <x v="0"/>
    <n v="1"/>
    <s v="Femenino"/>
    <d v="2024-07-05T00:00:00"/>
    <s v="2024-07"/>
    <x v="3"/>
    <n v="14"/>
    <x v="3"/>
    <n v="8"/>
    <n v="5.78"/>
    <n v="-2.2200000000000002"/>
    <n v="27.59"/>
    <n v="159.47"/>
    <n v="22.71"/>
    <n v="-22.21"/>
    <n v="47243.8"/>
    <d v="2024-10-10T00:00:00"/>
    <s v="Sí"/>
  </r>
  <r>
    <s v="TUR10087"/>
    <s v="EMP7730"/>
    <x v="91"/>
    <x v="6"/>
    <s v="Mozo de Almacén"/>
    <x v="2"/>
    <x v="1"/>
    <n v="5"/>
    <s v="Masculino"/>
    <d v="2024-09-09T00:00:00"/>
    <s v="2024-09"/>
    <x v="2"/>
    <n v="22"/>
    <x v="0"/>
    <n v="8"/>
    <n v="7.85"/>
    <n v="-0.15"/>
    <n v="25.6"/>
    <n v="200.96"/>
    <n v="16.66"/>
    <n v="67.680000000000007"/>
    <n v="34649.06"/>
    <d v="2021-02-09T00:00:00"/>
    <s v="Pendiente"/>
  </r>
  <r>
    <s v="TUR10127"/>
    <s v="EMP7730"/>
    <x v="91"/>
    <x v="6"/>
    <s v="Mozo de Almacén"/>
    <x v="2"/>
    <x v="1"/>
    <n v="5"/>
    <s v="Masculino"/>
    <d v="2024-11-12T00:00:00"/>
    <s v="2024-11"/>
    <x v="2"/>
    <n v="22"/>
    <x v="0"/>
    <n v="8"/>
    <n v="8.32"/>
    <n v="0.32"/>
    <n v="27.54"/>
    <n v="229.13"/>
    <n v="16.66"/>
    <n v="95.85"/>
    <n v="34649.06"/>
    <d v="2021-02-09T00:00:00"/>
    <s v="No"/>
  </r>
  <r>
    <s v="TUR10088"/>
    <s v="EMP5903"/>
    <x v="92"/>
    <x v="4"/>
    <s v="Supervisor de Línea"/>
    <x v="2"/>
    <x v="3"/>
    <n v="2"/>
    <s v="Masculino"/>
    <d v="2024-07-18T00:00:00"/>
    <s v="2024-07"/>
    <x v="3"/>
    <n v="14"/>
    <x v="0"/>
    <n v="8"/>
    <n v="8.44"/>
    <n v="0.44"/>
    <n v="20.25"/>
    <n v="170.91"/>
    <n v="22.09"/>
    <n v="-5.81"/>
    <n v="45957.54"/>
    <d v="2024-02-20T00:00:00"/>
    <s v="Sí"/>
  </r>
  <r>
    <s v="TUR10155"/>
    <s v="EMP3697"/>
    <x v="93"/>
    <x v="1"/>
    <s v="Key Account Manager"/>
    <x v="2"/>
    <x v="1"/>
    <n v="4"/>
    <s v="Masculino"/>
    <d v="2024-12-08T00:00:00"/>
    <s v="2024-12"/>
    <x v="1"/>
    <n v="6"/>
    <x v="0"/>
    <n v="8"/>
    <n v="8.23"/>
    <n v="0.23"/>
    <n v="16.36"/>
    <n v="134.63999999999999"/>
    <n v="13.11"/>
    <n v="29.76"/>
    <n v="27272.400000000001"/>
    <d v="2021-05-12T00:00:00"/>
    <s v="Sí"/>
  </r>
  <r>
    <s v="TUR10209"/>
    <s v="EMP6531"/>
    <x v="94"/>
    <x v="6"/>
    <s v="Mozo de Almacén"/>
    <x v="2"/>
    <x v="0"/>
    <n v="3"/>
    <s v="Femenino"/>
    <d v="2024-12-31T00:00:00"/>
    <s v="2024-12"/>
    <x v="3"/>
    <n v="14"/>
    <x v="0"/>
    <n v="8"/>
    <n v="8.16"/>
    <n v="0.16"/>
    <n v="21.83"/>
    <n v="178.13"/>
    <n v="22.3"/>
    <n v="-0.27"/>
    <n v="46377.48"/>
    <d v="2022-08-02T00:00:00"/>
    <s v="No"/>
  </r>
  <r>
    <s v="TUR10120"/>
    <s v="EMP8366"/>
    <x v="95"/>
    <x v="0"/>
    <s v="Técnico de Transporte"/>
    <x v="3"/>
    <x v="3"/>
    <n v="6"/>
    <s v="Femenino"/>
    <d v="2024-12-07T00:00:00"/>
    <s v="2024-12"/>
    <x v="3"/>
    <n v="14"/>
    <x v="0"/>
    <n v="8"/>
    <n v="8.49"/>
    <n v="0.49"/>
    <n v="14.09"/>
    <n v="119.62"/>
    <n v="13.07"/>
    <n v="15.06"/>
    <n v="27186"/>
    <d v="2020-01-26T00:00:00"/>
    <s v="No"/>
  </r>
  <r>
    <s v="TUR10092"/>
    <s v="EMP6026"/>
    <x v="96"/>
    <x v="3"/>
    <s v="Gestor de Nóminas"/>
    <x v="1"/>
    <x v="2"/>
    <n v="2"/>
    <s v="Femenino"/>
    <d v="2024-09-24T00:00:00"/>
    <s v="2024-09"/>
    <x v="3"/>
    <n v="14"/>
    <x v="3"/>
    <n v="8"/>
    <n v="6.55"/>
    <n v="-1.45"/>
    <n v="14.46"/>
    <n v="94.71"/>
    <n v="15.19"/>
    <n v="-26.81"/>
    <n v="31599.119999999999"/>
    <d v="2023-09-07T00:00:00"/>
    <s v="Sí"/>
  </r>
  <r>
    <s v="TUR10118"/>
    <s v="EMP6026"/>
    <x v="96"/>
    <x v="3"/>
    <s v="Gestor de Nóminas"/>
    <x v="1"/>
    <x v="2"/>
    <n v="2"/>
    <s v="Femenino"/>
    <d v="2024-10-16T00:00:00"/>
    <s v="2024-10"/>
    <x v="0"/>
    <n v="8"/>
    <x v="1"/>
    <n v="8"/>
    <n v="0"/>
    <n v="-8"/>
    <n v="13.56"/>
    <n v="0"/>
    <n v="15.19"/>
    <n v="-121.52"/>
    <n v="31599.119999999999"/>
    <d v="2023-09-07T00:00:00"/>
    <s v="Sí"/>
  </r>
  <r>
    <s v="TUR10186"/>
    <s v="EMP6026"/>
    <x v="96"/>
    <x v="3"/>
    <s v="Gestor de Nóminas"/>
    <x v="1"/>
    <x v="2"/>
    <n v="2"/>
    <s v="Femenino"/>
    <d v="2024-09-06T00:00:00"/>
    <s v="2024-09"/>
    <x v="3"/>
    <n v="14"/>
    <x v="0"/>
    <n v="8"/>
    <n v="7.9"/>
    <n v="-0.1"/>
    <n v="14.04"/>
    <n v="110.92"/>
    <n v="15.19"/>
    <n v="-10.6"/>
    <n v="31599.119999999999"/>
    <d v="2023-09-07T00:00:00"/>
    <s v="Sí"/>
  </r>
  <r>
    <s v="TUR10116"/>
    <s v="EMP7442"/>
    <x v="97"/>
    <x v="1"/>
    <s v="Técnico Comercial"/>
    <x v="2"/>
    <x v="1"/>
    <n v="4"/>
    <s v="Femenino"/>
    <d v="2024-12-16T00:00:00"/>
    <s v="2024-12"/>
    <x v="2"/>
    <n v="22"/>
    <x v="1"/>
    <n v="8"/>
    <n v="0"/>
    <n v="-8"/>
    <n v="16.440000000000001"/>
    <n v="0"/>
    <n v="9.5500000000000007"/>
    <n v="-76.400000000000006"/>
    <n v="19869.990000000002"/>
    <d v="2022-02-23T00:00:00"/>
    <s v="Pendiente"/>
  </r>
  <r>
    <s v="TUR10147"/>
    <s v="EMP7442"/>
    <x v="97"/>
    <x v="1"/>
    <s v="Técnico Comercial"/>
    <x v="2"/>
    <x v="1"/>
    <n v="4"/>
    <s v="Femenino"/>
    <d v="2024-10-03T00:00:00"/>
    <s v="2024-10"/>
    <x v="0"/>
    <n v="8"/>
    <x v="0"/>
    <n v="8"/>
    <n v="7.97"/>
    <n v="-0.03"/>
    <n v="22.66"/>
    <n v="180.6"/>
    <n v="9.5500000000000007"/>
    <n v="104.2"/>
    <n v="19869.990000000002"/>
    <d v="2022-02-23T00:00:00"/>
    <s v="No"/>
  </r>
  <r>
    <s v="TUR10093"/>
    <s v="EMP7223"/>
    <x v="98"/>
    <x v="2"/>
    <s v="Analista de Sistemas"/>
    <x v="3"/>
    <x v="3"/>
    <n v="5"/>
    <s v="Masculino"/>
    <d v="2024-07-14T00:00:00"/>
    <s v="2024-07"/>
    <x v="3"/>
    <n v="14"/>
    <x v="1"/>
    <n v="8"/>
    <n v="0"/>
    <n v="-8"/>
    <n v="13.6"/>
    <n v="0"/>
    <n v="16.850000000000001"/>
    <n v="-134.80000000000001"/>
    <n v="35050.67"/>
    <d v="2020-10-24T00:00:00"/>
    <s v="No"/>
  </r>
  <r>
    <s v="TUR10094"/>
    <s v="EMP5139"/>
    <x v="99"/>
    <x v="4"/>
    <s v="Técnico de Producción"/>
    <x v="1"/>
    <x v="3"/>
    <n v="4"/>
    <s v="Masculino"/>
    <d v="2024-09-14T00:00:00"/>
    <s v="2024-09"/>
    <x v="3"/>
    <n v="14"/>
    <x v="3"/>
    <n v="8"/>
    <n v="5.95"/>
    <n v="-2.0499999999999998"/>
    <n v="23.1"/>
    <n v="137.44"/>
    <n v="26.28"/>
    <n v="-72.8"/>
    <n v="54655.92"/>
    <d v="2022-03-27T00:00:00"/>
    <s v="Pendiente"/>
  </r>
  <r>
    <s v="TUR10200"/>
    <s v="EMP5139"/>
    <x v="99"/>
    <x v="4"/>
    <s v="Técnico de Producción"/>
    <x v="1"/>
    <x v="3"/>
    <n v="4"/>
    <s v="Masculino"/>
    <d v="2024-12-12T00:00:00"/>
    <s v="2024-12"/>
    <x v="1"/>
    <n v="6"/>
    <x v="3"/>
    <n v="8"/>
    <n v="5.7"/>
    <n v="-2.2999999999999998"/>
    <n v="12.41"/>
    <n v="70.739999999999995"/>
    <n v="26.28"/>
    <n v="-139.5"/>
    <n v="54655.92"/>
    <d v="2022-03-27T00:00:00"/>
    <s v="Sí"/>
  </r>
  <r>
    <s v="TUR10095"/>
    <s v="EMP4850"/>
    <x v="100"/>
    <x v="5"/>
    <s v="Técnico de Calidad"/>
    <x v="3"/>
    <x v="3"/>
    <n v="4"/>
    <s v="Masculino"/>
    <d v="2024-08-21T00:00:00"/>
    <s v="2024-08"/>
    <x v="1"/>
    <n v="6"/>
    <x v="0"/>
    <n v="8"/>
    <n v="8.09"/>
    <n v="0.09"/>
    <n v="19.579999999999998"/>
    <n v="158.4"/>
    <n v="14.28"/>
    <n v="44.16"/>
    <n v="29694.28"/>
    <d v="2022-02-18T00:00:00"/>
    <s v="Sí"/>
  </r>
  <r>
    <s v="TUR10097"/>
    <s v="EMP4984"/>
    <x v="101"/>
    <x v="6"/>
    <s v="Operario de Carretilla"/>
    <x v="1"/>
    <x v="1"/>
    <n v="3"/>
    <s v="Masculino"/>
    <d v="2024-07-29T00:00:00"/>
    <s v="2024-07"/>
    <x v="2"/>
    <n v="22"/>
    <x v="0"/>
    <n v="8"/>
    <n v="8.27"/>
    <n v="0.27"/>
    <n v="25.02"/>
    <n v="206.92"/>
    <n v="15.86"/>
    <n v="80.040000000000006"/>
    <n v="32995.300000000003"/>
    <d v="2022-10-22T00:00:00"/>
    <s v="Sí"/>
  </r>
  <r>
    <s v="TUR10130"/>
    <s v="EMP2020"/>
    <x v="102"/>
    <x v="1"/>
    <s v="Técnico Comercial"/>
    <x v="2"/>
    <x v="3"/>
    <n v="3"/>
    <s v="Masculino"/>
    <d v="2024-09-05T00:00:00"/>
    <s v="2024-09"/>
    <x v="0"/>
    <n v="8"/>
    <x v="0"/>
    <n v="8"/>
    <n v="7.88"/>
    <n v="-0.12"/>
    <n v="19.39"/>
    <n v="152.79"/>
    <n v="18"/>
    <n v="8.7899999999999991"/>
    <n v="37442.65"/>
    <d v="2023-03-01T00:00:00"/>
    <s v="Sí"/>
  </r>
  <r>
    <s v="TUR10099"/>
    <s v="EMP2741"/>
    <x v="103"/>
    <x v="7"/>
    <s v="Responsable de Oficina"/>
    <x v="3"/>
    <x v="1"/>
    <n v="2"/>
    <s v="Femenino"/>
    <d v="2024-09-07T00:00:00"/>
    <s v="2024-09"/>
    <x v="3"/>
    <n v="14"/>
    <x v="0"/>
    <n v="8"/>
    <n v="7.94"/>
    <n v="-0.06"/>
    <n v="12.1"/>
    <n v="96.07"/>
    <n v="13.18"/>
    <n v="-9.3699999999999992"/>
    <n v="27408.7"/>
    <d v="2023-10-28T00:00:00"/>
    <s v="No"/>
  </r>
  <r>
    <s v="TUR10101"/>
    <s v="EMP4187"/>
    <x v="104"/>
    <x v="4"/>
    <s v="Supervisor de Línea"/>
    <x v="2"/>
    <x v="3"/>
    <n v="6"/>
    <s v="Femenino"/>
    <d v="2024-11-21T00:00:00"/>
    <s v="2024-11"/>
    <x v="3"/>
    <n v="14"/>
    <x v="0"/>
    <n v="8"/>
    <n v="7.86"/>
    <n v="-0.14000000000000001"/>
    <n v="15.89"/>
    <n v="124.9"/>
    <n v="9.6199999999999992"/>
    <n v="47.94"/>
    <n v="20000.29"/>
    <d v="2020-02-18T00:00:00"/>
    <s v="No"/>
  </r>
  <r>
    <s v="TUR10122"/>
    <s v="EMP4187"/>
    <x v="104"/>
    <x v="4"/>
    <s v="Supervisor de Línea"/>
    <x v="2"/>
    <x v="3"/>
    <n v="6"/>
    <s v="Femenino"/>
    <d v="2024-12-27T00:00:00"/>
    <s v="2024-12"/>
    <x v="2"/>
    <n v="22"/>
    <x v="0"/>
    <n v="8"/>
    <n v="8.32"/>
    <n v="0.32"/>
    <n v="14.01"/>
    <n v="116.56"/>
    <n v="9.6199999999999992"/>
    <n v="39.6"/>
    <n v="20000.29"/>
    <d v="2020-02-18T00:00:00"/>
    <s v="No"/>
  </r>
  <r>
    <s v="TUR10167"/>
    <s v="EMP9901"/>
    <x v="105"/>
    <x v="5"/>
    <s v="Inspector de Calidad"/>
    <x v="0"/>
    <x v="1"/>
    <n v="5"/>
    <s v="Masculino"/>
    <d v="2024-12-12T00:00:00"/>
    <s v="2024-12"/>
    <x v="2"/>
    <n v="22"/>
    <x v="0"/>
    <n v="8"/>
    <n v="8.09"/>
    <n v="0.09"/>
    <n v="13.59"/>
    <n v="109.94"/>
    <n v="14.54"/>
    <n v="-6.38"/>
    <n v="30235.31"/>
    <d v="2020-10-27T00:00:00"/>
    <s v="No"/>
  </r>
  <r>
    <s v="TUR10218"/>
    <s v="EMP9008"/>
    <x v="106"/>
    <x v="0"/>
    <s v="Técnico de Transporte"/>
    <x v="0"/>
    <x v="3"/>
    <n v="1"/>
    <s v="Femenino"/>
    <d v="2024-08-13T00:00:00"/>
    <s v="2024-08"/>
    <x v="2"/>
    <n v="22"/>
    <x v="3"/>
    <n v="8"/>
    <n v="7.42"/>
    <n v="-0.57999999999999996"/>
    <n v="19.149999999999999"/>
    <n v="142.09"/>
    <n v="16.78"/>
    <n v="7.85"/>
    <n v="34901.54"/>
    <d v="2024-08-06T00:00:00"/>
    <s v="No"/>
  </r>
  <r>
    <s v="TUR10110"/>
    <s v="EMP2097"/>
    <x v="107"/>
    <x v="4"/>
    <s v="Supervisor de Línea"/>
    <x v="2"/>
    <x v="2"/>
    <n v="6"/>
    <s v="Masculino"/>
    <d v="2024-11-29T00:00:00"/>
    <s v="2024-11"/>
    <x v="2"/>
    <n v="22"/>
    <x v="0"/>
    <n v="8"/>
    <n v="8.17"/>
    <n v="0.17"/>
    <n v="19.12"/>
    <n v="156.21"/>
    <n v="17.899999999999999"/>
    <n v="13.01"/>
    <n v="37228.46"/>
    <d v="2019-10-12T00:00:00"/>
    <s v="Sí"/>
  </r>
  <r>
    <s v="TUR10194"/>
    <s v="EMP4422"/>
    <x v="108"/>
    <x v="1"/>
    <s v="Comercial"/>
    <x v="1"/>
    <x v="3"/>
    <n v="5"/>
    <s v="Masculino"/>
    <d v="2024-09-29T00:00:00"/>
    <s v="2024-09"/>
    <x v="3"/>
    <n v="14"/>
    <x v="0"/>
    <n v="8"/>
    <n v="8.1"/>
    <n v="0.1"/>
    <n v="17.239999999999998"/>
    <n v="139.63999999999999"/>
    <n v="24.92"/>
    <n v="-59.72"/>
    <n v="51834.33"/>
    <d v="2021-01-08T00:00:00"/>
    <s v="No"/>
  </r>
  <r>
    <s v="TUR10114"/>
    <s v="EMP1359"/>
    <x v="109"/>
    <x v="6"/>
    <s v="Jefe de Almacén"/>
    <x v="1"/>
    <x v="3"/>
    <n v="2"/>
    <s v="Masculino"/>
    <d v="2024-09-02T00:00:00"/>
    <s v="2024-09"/>
    <x v="0"/>
    <n v="8"/>
    <x v="0"/>
    <n v="8"/>
    <n v="7.78"/>
    <n v="-0.22"/>
    <n v="13.22"/>
    <n v="102.85"/>
    <n v="24.25"/>
    <n v="-91.15"/>
    <n v="50432.13"/>
    <d v="2023-06-28T00:00:00"/>
    <s v="Pendiente"/>
  </r>
  <r>
    <s v="TUR10115"/>
    <s v="EMP6816"/>
    <x v="110"/>
    <x v="0"/>
    <s v="Gestor de Flota"/>
    <x v="3"/>
    <x v="2"/>
    <n v="3"/>
    <s v="Femenino"/>
    <d v="2024-12-18T00:00:00"/>
    <s v="2024-12"/>
    <x v="0"/>
    <n v="8"/>
    <x v="0"/>
    <n v="8"/>
    <n v="8.14"/>
    <n v="0.14000000000000001"/>
    <n v="20.22"/>
    <n v="164.59"/>
    <n v="25.83"/>
    <n v="-42.05"/>
    <n v="53731.519999999997"/>
    <d v="2022-07-05T00:00:00"/>
    <s v="Sí"/>
  </r>
  <r>
    <s v="TUR10216"/>
    <s v="EMP1104"/>
    <x v="111"/>
    <x v="1"/>
    <s v="Comercial"/>
    <x v="0"/>
    <x v="1"/>
    <n v="3"/>
    <s v="Femenino"/>
    <d v="2024-08-04T00:00:00"/>
    <s v="2024-08"/>
    <x v="3"/>
    <n v="14"/>
    <x v="0"/>
    <n v="8"/>
    <n v="7.81"/>
    <n v="-0.19"/>
    <n v="18.809999999999999"/>
    <n v="146.91"/>
    <n v="12.54"/>
    <n v="46.59"/>
    <n v="26092.63"/>
    <d v="2022-05-14T00:00:00"/>
    <s v="No"/>
  </r>
  <r>
    <s v="TUR10117"/>
    <s v="EMP8570"/>
    <x v="112"/>
    <x v="0"/>
    <s v="Coordinador Logístico"/>
    <x v="0"/>
    <x v="0"/>
    <n v="3"/>
    <s v="Masculino"/>
    <d v="2024-11-15T00:00:00"/>
    <s v="2024-11"/>
    <x v="0"/>
    <n v="8"/>
    <x v="0"/>
    <n v="8"/>
    <n v="7.84"/>
    <n v="-0.16"/>
    <n v="22.92"/>
    <n v="179.69"/>
    <n v="12.18"/>
    <n v="82.25"/>
    <n v="25330.92"/>
    <d v="2022-09-04T00:00:00"/>
    <s v="No"/>
  </r>
  <r>
    <s v="TUR10214"/>
    <s v="EMP1697"/>
    <x v="113"/>
    <x v="5"/>
    <s v="Inspector de Calidad"/>
    <x v="1"/>
    <x v="1"/>
    <n v="2"/>
    <s v="Masculino"/>
    <d v="2024-09-25T00:00:00"/>
    <s v="2024-09"/>
    <x v="2"/>
    <n v="22"/>
    <x v="2"/>
    <n v="8"/>
    <n v="0"/>
    <n v="-8"/>
    <n v="16.54"/>
    <n v="0"/>
    <n v="20.83"/>
    <n v="-166.64"/>
    <n v="43323.86"/>
    <d v="2023-05-08T00:00:00"/>
    <s v="No"/>
  </r>
  <r>
    <s v="TUR10121"/>
    <s v="EMP9691"/>
    <x v="114"/>
    <x v="7"/>
    <s v="Auxiliar Administrativo"/>
    <x v="2"/>
    <x v="0"/>
    <n v="2"/>
    <s v="Femenino"/>
    <d v="2024-12-31T00:00:00"/>
    <s v="2024-12"/>
    <x v="1"/>
    <n v="6"/>
    <x v="2"/>
    <n v="8"/>
    <n v="0"/>
    <n v="-8"/>
    <n v="16.329999999999998"/>
    <n v="0"/>
    <n v="19.829999999999998"/>
    <n v="-158.63999999999999"/>
    <n v="41238.959999999999"/>
    <d v="2024-01-27T00:00:00"/>
    <s v="Sí"/>
  </r>
  <r>
    <s v="TUR10203"/>
    <s v="EMP9691"/>
    <x v="114"/>
    <x v="7"/>
    <s v="Auxiliar Administrativo"/>
    <x v="2"/>
    <x v="0"/>
    <n v="2"/>
    <s v="Femenino"/>
    <d v="2024-09-18T00:00:00"/>
    <s v="2024-09"/>
    <x v="2"/>
    <n v="22"/>
    <x v="0"/>
    <n v="8"/>
    <n v="8.01"/>
    <n v="0.01"/>
    <n v="20.88"/>
    <n v="167.25"/>
    <n v="19.829999999999998"/>
    <n v="8.61"/>
    <n v="41238.959999999999"/>
    <d v="2024-01-27T00:00:00"/>
    <s v="Pendiente"/>
  </r>
  <r>
    <s v="TUR10137"/>
    <s v="EMP7499"/>
    <x v="115"/>
    <x v="3"/>
    <s v="Responsable de RRHH"/>
    <x v="3"/>
    <x v="0"/>
    <n v="6"/>
    <s v="Masculino"/>
    <d v="2024-12-10T00:00:00"/>
    <s v="2024-12"/>
    <x v="2"/>
    <n v="22"/>
    <x v="0"/>
    <n v="8"/>
    <n v="7.76"/>
    <n v="-0.24"/>
    <n v="25.33"/>
    <n v="196.56"/>
    <n v="14.98"/>
    <n v="76.72"/>
    <n v="31165.01"/>
    <d v="2019-08-24T00:00:00"/>
    <s v="Sí"/>
  </r>
  <r>
    <s v="TUR10123"/>
    <s v="EMP2783"/>
    <x v="116"/>
    <x v="6"/>
    <s v="Jefe de Almacén"/>
    <x v="0"/>
    <x v="0"/>
    <n v="6"/>
    <s v="Masculino"/>
    <d v="2024-07-14T00:00:00"/>
    <s v="2024-07"/>
    <x v="0"/>
    <n v="8"/>
    <x v="0"/>
    <n v="8"/>
    <n v="7.95"/>
    <n v="-0.05"/>
    <n v="12.5"/>
    <n v="99.38"/>
    <n v="13.34"/>
    <n v="-7.34"/>
    <n v="27739.68"/>
    <d v="2019-12-14T00:00:00"/>
    <s v="Pendiente"/>
  </r>
  <r>
    <s v="TUR10204"/>
    <s v="EMP6798"/>
    <x v="117"/>
    <x v="2"/>
    <s v="Analista de Sistemas"/>
    <x v="1"/>
    <x v="2"/>
    <n v="5"/>
    <s v="Femenino"/>
    <d v="2024-10-16T00:00:00"/>
    <s v="2024-10"/>
    <x v="0"/>
    <n v="8"/>
    <x v="0"/>
    <n v="8"/>
    <n v="7.85"/>
    <n v="-0.15"/>
    <n v="24.31"/>
    <n v="190.83"/>
    <n v="16.010000000000002"/>
    <n v="62.75"/>
    <n v="33310.97"/>
    <d v="2020-07-21T00:00:00"/>
    <s v="No"/>
  </r>
  <r>
    <s v="TUR10170"/>
    <s v="EMP7224"/>
    <x v="118"/>
    <x v="4"/>
    <s v="Supervisor de Línea"/>
    <x v="0"/>
    <x v="2"/>
    <n v="6"/>
    <s v="Femenino"/>
    <d v="2024-12-23T00:00:00"/>
    <s v="2024-12"/>
    <x v="1"/>
    <n v="6"/>
    <x v="2"/>
    <n v="8"/>
    <n v="0"/>
    <n v="-8"/>
    <n v="24.29"/>
    <n v="0"/>
    <n v="14.36"/>
    <n v="-114.88"/>
    <n v="29864.61"/>
    <d v="2019-08-11T00:00:00"/>
    <s v="No"/>
  </r>
  <r>
    <s v="TUR10129"/>
    <s v="EMP5400"/>
    <x v="119"/>
    <x v="6"/>
    <s v="Mozo de Almacén"/>
    <x v="2"/>
    <x v="3"/>
    <n v="4"/>
    <s v="Masculino"/>
    <d v="2024-09-30T00:00:00"/>
    <s v="2024-09"/>
    <x v="2"/>
    <n v="22"/>
    <x v="3"/>
    <n v="8"/>
    <n v="7.13"/>
    <n v="-0.87"/>
    <n v="18.43"/>
    <n v="131.41"/>
    <n v="25.92"/>
    <n v="-75.95"/>
    <n v="53916.1"/>
    <d v="2021-08-13T00:00:00"/>
    <s v="Sí"/>
  </r>
  <r>
    <s v="TUR10160"/>
    <s v="EMP1402"/>
    <x v="120"/>
    <x v="4"/>
    <s v="Operario de Producción"/>
    <x v="1"/>
    <x v="0"/>
    <n v="3"/>
    <s v="Masculino"/>
    <d v="2024-07-22T00:00:00"/>
    <s v="2024-07"/>
    <x v="1"/>
    <n v="6"/>
    <x v="3"/>
    <n v="8"/>
    <n v="5.65"/>
    <n v="-2.35"/>
    <n v="22.61"/>
    <n v="127.75"/>
    <n v="14.85"/>
    <n v="8.9499999999999993"/>
    <n v="30888.16"/>
    <d v="2022-12-31T00:00:00"/>
    <s v="No"/>
  </r>
  <r>
    <s v="TUR10131"/>
    <s v="EMP7361"/>
    <x v="121"/>
    <x v="1"/>
    <s v="Key Account Manager"/>
    <x v="0"/>
    <x v="3"/>
    <n v="5"/>
    <s v="Masculino"/>
    <d v="2024-10-16T00:00:00"/>
    <s v="2024-10"/>
    <x v="1"/>
    <n v="6"/>
    <x v="0"/>
    <n v="8"/>
    <n v="8.1"/>
    <n v="0.1"/>
    <n v="14.68"/>
    <n v="118.91"/>
    <n v="24.78"/>
    <n v="-79.33"/>
    <n v="51541.48"/>
    <d v="2021-02-26T00:00:00"/>
    <s v="Pendiente"/>
  </r>
  <r>
    <s v="TUR10140"/>
    <s v="EMP8080"/>
    <x v="122"/>
    <x v="1"/>
    <s v="Key Account Manager"/>
    <x v="3"/>
    <x v="3"/>
    <n v="2"/>
    <s v="Masculino"/>
    <d v="2024-11-14T00:00:00"/>
    <s v="2024-11"/>
    <x v="3"/>
    <n v="14"/>
    <x v="0"/>
    <n v="8"/>
    <n v="8.0399999999999991"/>
    <n v="0.04"/>
    <n v="13.2"/>
    <n v="106.13"/>
    <n v="8.73"/>
    <n v="36.29"/>
    <n v="18164.650000000001"/>
    <d v="2023-09-20T00:00:00"/>
    <s v="Sí"/>
  </r>
  <r>
    <s v="TUR10202"/>
    <s v="EMP8080"/>
    <x v="122"/>
    <x v="1"/>
    <s v="Key Account Manager"/>
    <x v="3"/>
    <x v="3"/>
    <n v="2"/>
    <s v="Masculino"/>
    <d v="2024-09-16T00:00:00"/>
    <s v="2024-09"/>
    <x v="2"/>
    <n v="22"/>
    <x v="3"/>
    <n v="8"/>
    <n v="6.02"/>
    <n v="-1.98"/>
    <n v="13.81"/>
    <n v="83.14"/>
    <n v="8.73"/>
    <n v="13.3"/>
    <n v="18164.650000000001"/>
    <d v="2023-09-20T00:00:00"/>
    <s v="Sí"/>
  </r>
  <r>
    <s v="TUR10132"/>
    <s v="EMP2916"/>
    <x v="123"/>
    <x v="7"/>
    <s v="Responsable de Oficina"/>
    <x v="3"/>
    <x v="3"/>
    <n v="4"/>
    <s v="Femenino"/>
    <d v="2024-12-16T00:00:00"/>
    <s v="2024-12"/>
    <x v="0"/>
    <n v="8"/>
    <x v="2"/>
    <n v="8"/>
    <n v="0"/>
    <n v="-8"/>
    <n v="24.23"/>
    <n v="0"/>
    <n v="19.260000000000002"/>
    <n v="-154.08000000000001"/>
    <n v="40067.760000000002"/>
    <d v="2021-09-12T00:00:00"/>
    <s v="No"/>
  </r>
  <r>
    <s v="TUR10135"/>
    <s v="EMP5529"/>
    <x v="124"/>
    <x v="3"/>
    <s v="Gestor de Nóminas"/>
    <x v="2"/>
    <x v="0"/>
    <n v="5"/>
    <s v="Masculino"/>
    <d v="2024-12-09T00:00:00"/>
    <s v="2024-12"/>
    <x v="1"/>
    <n v="6"/>
    <x v="1"/>
    <n v="8"/>
    <n v="0"/>
    <n v="-8"/>
    <n v="23.75"/>
    <n v="0"/>
    <n v="11.32"/>
    <n v="-90.56"/>
    <n v="23547.38"/>
    <d v="2020-08-18T00:00:00"/>
    <s v="Sí"/>
  </r>
  <r>
    <s v="TUR10201"/>
    <s v="EMP3281"/>
    <x v="125"/>
    <x v="2"/>
    <s v="Desarrollador"/>
    <x v="2"/>
    <x v="0"/>
    <n v="5"/>
    <s v="Femenino"/>
    <d v="2024-11-10T00:00:00"/>
    <s v="2024-11"/>
    <x v="3"/>
    <n v="14"/>
    <x v="0"/>
    <n v="8"/>
    <n v="8.4600000000000009"/>
    <n v="0.46"/>
    <n v="17.79"/>
    <n v="150.5"/>
    <n v="14.41"/>
    <n v="35.22"/>
    <n v="29975.18"/>
    <d v="2020-12-22T00:00:00"/>
    <s v="Pendiente"/>
  </r>
  <r>
    <s v="TUR10139"/>
    <s v="EMP3320"/>
    <x v="126"/>
    <x v="2"/>
    <s v="Técnico Informático"/>
    <x v="2"/>
    <x v="3"/>
    <n v="3"/>
    <s v="Masculino"/>
    <d v="2024-07-25T00:00:00"/>
    <s v="2024-07"/>
    <x v="0"/>
    <n v="8"/>
    <x v="2"/>
    <n v="8"/>
    <n v="0"/>
    <n v="-8"/>
    <n v="17.18"/>
    <n v="0"/>
    <n v="19.079999999999998"/>
    <n v="-152.63999999999999"/>
    <n v="39682.620000000003"/>
    <d v="2023-01-13T00:00:00"/>
    <s v="Sí"/>
  </r>
  <r>
    <s v="TUR10175"/>
    <s v="EMP3320"/>
    <x v="126"/>
    <x v="2"/>
    <s v="Técnico Informático"/>
    <x v="2"/>
    <x v="3"/>
    <n v="3"/>
    <s v="Masculino"/>
    <d v="2024-10-08T00:00:00"/>
    <s v="2024-10"/>
    <x v="3"/>
    <n v="14"/>
    <x v="0"/>
    <n v="8"/>
    <n v="7.84"/>
    <n v="-0.16"/>
    <n v="13.44"/>
    <n v="105.37"/>
    <n v="19.079999999999998"/>
    <n v="-47.27"/>
    <n v="39682.620000000003"/>
    <d v="2023-01-13T00:00:00"/>
    <s v="Pendiente"/>
  </r>
  <r>
    <s v="TUR10180"/>
    <s v="EMP4921"/>
    <x v="127"/>
    <x v="1"/>
    <s v="Key Account Manager"/>
    <x v="1"/>
    <x v="1"/>
    <n v="6"/>
    <s v="Masculino"/>
    <d v="2024-07-27T00:00:00"/>
    <s v="2024-07"/>
    <x v="1"/>
    <n v="6"/>
    <x v="2"/>
    <n v="8"/>
    <n v="0"/>
    <n v="-8"/>
    <n v="18.62"/>
    <n v="0"/>
    <n v="26.21"/>
    <n v="-209.68"/>
    <n v="54514.65"/>
    <d v="2019-09-08T00:00:00"/>
    <s v="Sí"/>
  </r>
  <r>
    <s v="TUR10146"/>
    <s v="EMP9568"/>
    <x v="128"/>
    <x v="7"/>
    <s v="Auxiliar Administrativo"/>
    <x v="0"/>
    <x v="2"/>
    <n v="2"/>
    <s v="Femenino"/>
    <d v="2024-07-29T00:00:00"/>
    <s v="2024-07"/>
    <x v="2"/>
    <n v="22"/>
    <x v="0"/>
    <n v="8"/>
    <n v="8.43"/>
    <n v="0.43"/>
    <n v="18.71"/>
    <n v="157.72999999999999"/>
    <n v="21.69"/>
    <n v="-15.79"/>
    <n v="45118.63"/>
    <d v="2024-04-05T00:00:00"/>
    <s v="No"/>
  </r>
  <r>
    <s v="TUR10208"/>
    <s v="EMP9568"/>
    <x v="128"/>
    <x v="7"/>
    <s v="Auxiliar Administrativo"/>
    <x v="0"/>
    <x v="2"/>
    <n v="2"/>
    <s v="Femenino"/>
    <d v="2024-08-18T00:00:00"/>
    <s v="2024-08"/>
    <x v="3"/>
    <n v="14"/>
    <x v="2"/>
    <n v="8"/>
    <n v="0"/>
    <n v="-8"/>
    <n v="17.579999999999998"/>
    <n v="0"/>
    <n v="21.69"/>
    <n v="-173.52"/>
    <n v="45118.63"/>
    <d v="2024-04-05T00:00:00"/>
    <s v="Sí"/>
  </r>
  <r>
    <s v="TUR10154"/>
    <s v="EMP4272"/>
    <x v="129"/>
    <x v="1"/>
    <s v="Key Account Manager"/>
    <x v="3"/>
    <x v="2"/>
    <n v="4"/>
    <s v="Femenino"/>
    <d v="2024-09-02T00:00:00"/>
    <s v="2024-09"/>
    <x v="0"/>
    <n v="8"/>
    <x v="2"/>
    <n v="8"/>
    <n v="0"/>
    <n v="-8"/>
    <n v="10.71"/>
    <n v="0"/>
    <n v="11.51"/>
    <n v="-92.08"/>
    <n v="23933.82"/>
    <d v="2021-11-06T00:00:00"/>
    <s v="No"/>
  </r>
  <r>
    <s v="TUR10156"/>
    <s v="EMP6883"/>
    <x v="130"/>
    <x v="2"/>
    <s v="Desarrollador"/>
    <x v="2"/>
    <x v="3"/>
    <n v="1"/>
    <s v="Masculino"/>
    <d v="2024-09-05T00:00:00"/>
    <s v="2024-09"/>
    <x v="0"/>
    <n v="8"/>
    <x v="0"/>
    <n v="8"/>
    <n v="8.26"/>
    <n v="0.26"/>
    <n v="19.600000000000001"/>
    <n v="161.9"/>
    <n v="13.46"/>
    <n v="54.22"/>
    <n v="28006.12"/>
    <d v="2024-10-10T00:00:00"/>
    <s v="Sí"/>
  </r>
  <r>
    <s v="TUR10163"/>
    <s v="EMP5511"/>
    <x v="131"/>
    <x v="5"/>
    <s v="Inspector de Calidad"/>
    <x v="0"/>
    <x v="3"/>
    <n v="4"/>
    <s v="Masculino"/>
    <d v="2024-09-10T00:00:00"/>
    <s v="2024-09"/>
    <x v="1"/>
    <n v="6"/>
    <x v="0"/>
    <n v="8"/>
    <n v="7.94"/>
    <n v="-0.06"/>
    <n v="11.73"/>
    <n v="93.14"/>
    <n v="14.03"/>
    <n v="-19.100000000000001"/>
    <n v="29179.37"/>
    <d v="2022-01-01T00:00:00"/>
    <s v="No"/>
  </r>
  <r>
    <s v="TUR10188"/>
    <s v="EMP2228"/>
    <x v="132"/>
    <x v="5"/>
    <s v="Auditor Interno"/>
    <x v="1"/>
    <x v="3"/>
    <n v="2"/>
    <s v="Masculino"/>
    <d v="2024-07-22T00:00:00"/>
    <s v="2024-07"/>
    <x v="3"/>
    <n v="14"/>
    <x v="0"/>
    <n v="8"/>
    <n v="8.43"/>
    <n v="0.43"/>
    <n v="12.01"/>
    <n v="101.24"/>
    <n v="25.42"/>
    <n v="-102.12"/>
    <n v="52870.36"/>
    <d v="2023-12-31T00:00:00"/>
    <s v="No"/>
  </r>
  <r>
    <s v="TUR10172"/>
    <s v="EMP7468"/>
    <x v="133"/>
    <x v="7"/>
    <s v="Administrativo"/>
    <x v="3"/>
    <x v="0"/>
    <n v="2"/>
    <s v="Masculino"/>
    <d v="2024-10-31T00:00:00"/>
    <s v="2024-10"/>
    <x v="1"/>
    <n v="6"/>
    <x v="0"/>
    <n v="8"/>
    <n v="8.24"/>
    <n v="0.24"/>
    <n v="21.57"/>
    <n v="177.74"/>
    <n v="25.54"/>
    <n v="-26.58"/>
    <n v="53115.27"/>
    <d v="2023-12-26T00:00:00"/>
    <s v="Sí"/>
  </r>
  <r>
    <s v="TUR10174"/>
    <s v="EMP4170"/>
    <x v="134"/>
    <x v="6"/>
    <s v="Mozo de Almacén"/>
    <x v="0"/>
    <x v="1"/>
    <n v="3"/>
    <s v="Masculino"/>
    <d v="2024-10-10T00:00:00"/>
    <s v="2024-10"/>
    <x v="0"/>
    <n v="8"/>
    <x v="0"/>
    <n v="8"/>
    <n v="8.48"/>
    <n v="0.48"/>
    <n v="16.13"/>
    <n v="136.78"/>
    <n v="15.36"/>
    <n v="13.9"/>
    <n v="31956.33"/>
    <d v="2022-07-09T00:00:00"/>
    <s v="Sí"/>
  </r>
  <r>
    <s v="TUR10179"/>
    <s v="EMP8381"/>
    <x v="135"/>
    <x v="7"/>
    <s v="Auxiliar Administrativo"/>
    <x v="1"/>
    <x v="1"/>
    <n v="3"/>
    <s v="Masculino"/>
    <d v="2024-07-29T00:00:00"/>
    <s v="2024-07"/>
    <x v="0"/>
    <n v="8"/>
    <x v="0"/>
    <n v="8"/>
    <n v="8.2200000000000006"/>
    <n v="0.22"/>
    <n v="17.829999999999998"/>
    <n v="146.56"/>
    <n v="18.489999999999998"/>
    <n v="-1.36"/>
    <n v="38469.370000000003"/>
    <d v="2022-06-30T00:00:00"/>
    <s v="Sí"/>
  </r>
  <r>
    <s v="TUR10184"/>
    <s v="EMP9468"/>
    <x v="136"/>
    <x v="5"/>
    <s v="Inspector de Calidad"/>
    <x v="1"/>
    <x v="2"/>
    <n v="2"/>
    <s v="Masculino"/>
    <d v="2024-11-04T00:00:00"/>
    <s v="2024-11"/>
    <x v="2"/>
    <n v="22"/>
    <x v="0"/>
    <n v="8"/>
    <n v="7.83"/>
    <n v="-0.17"/>
    <n v="14.65"/>
    <n v="114.71"/>
    <n v="24.63"/>
    <n v="-82.33"/>
    <n v="51236.42"/>
    <d v="2023-11-04T00:00:00"/>
    <s v="Sí"/>
  </r>
  <r>
    <s v="TUR10192"/>
    <s v="EMP7319"/>
    <x v="137"/>
    <x v="7"/>
    <s v="Administrativo"/>
    <x v="0"/>
    <x v="1"/>
    <n v="6"/>
    <s v="Femenino"/>
    <d v="2024-11-07T00:00:00"/>
    <s v="2024-11"/>
    <x v="0"/>
    <n v="8"/>
    <x v="1"/>
    <n v="8"/>
    <n v="0"/>
    <n v="-8"/>
    <n v="14.68"/>
    <n v="0"/>
    <n v="26.11"/>
    <n v="-208.88"/>
    <n v="54318.06"/>
    <d v="2020-03-09T00:00:00"/>
    <s v="Sí"/>
  </r>
  <r>
    <s v="TUR10219"/>
    <s v="EMP3578"/>
    <x v="138"/>
    <x v="6"/>
    <s v="Operario de Carretilla"/>
    <x v="0"/>
    <x v="3"/>
    <n v="5"/>
    <s v="Femenino"/>
    <d v="2024-11-23T00:00:00"/>
    <s v="2024-11"/>
    <x v="1"/>
    <n v="6"/>
    <x v="2"/>
    <n v="8"/>
    <n v="0"/>
    <n v="-8"/>
    <n v="12.67"/>
    <n v="0"/>
    <n v="23.08"/>
    <n v="-184.64"/>
    <n v="48013.39"/>
    <d v="2020-11-18T00:00:00"/>
    <s v="No"/>
  </r>
  <r>
    <s v="TUR10222"/>
    <s v="EMP6816"/>
    <x v="110"/>
    <x v="0"/>
    <s v="Gestor de Flota"/>
    <x v="3"/>
    <x v="2"/>
    <n v="3"/>
    <s v="Femenino"/>
    <d v="2024-10-02T00:00:00"/>
    <s v="2024-10"/>
    <x v="3"/>
    <n v="14"/>
    <x v="1"/>
    <n v="8"/>
    <n v="0"/>
    <n v="-8"/>
    <n v="16.82"/>
    <n v="0"/>
    <n v="25.83"/>
    <n v="-206.64"/>
    <n v="53731.519999999997"/>
    <d v="2022-07-05T00:00:00"/>
    <s v="No"/>
  </r>
  <r>
    <s v="TUR10223"/>
    <s v="EMP4921"/>
    <x v="127"/>
    <x v="1"/>
    <s v="Key Account Manager"/>
    <x v="1"/>
    <x v="1"/>
    <n v="6"/>
    <s v="Masculino"/>
    <d v="2024-08-23T00:00:00"/>
    <s v="2024-08"/>
    <x v="1"/>
    <n v="6"/>
    <x v="1"/>
    <n v="8"/>
    <n v="0"/>
    <n v="-8"/>
    <n v="20.98"/>
    <n v="0"/>
    <n v="26.21"/>
    <n v="-209.68"/>
    <n v="54514.65"/>
    <d v="2019-09-08T00:00:00"/>
    <s v="Pendiente"/>
  </r>
  <r>
    <s v="TUR10224"/>
    <s v="EMP3697"/>
    <x v="93"/>
    <x v="1"/>
    <s v="Key Account Manager"/>
    <x v="2"/>
    <x v="1"/>
    <n v="4"/>
    <s v="Masculino"/>
    <d v="2024-10-24T00:00:00"/>
    <s v="2024-10"/>
    <x v="2"/>
    <n v="22"/>
    <x v="0"/>
    <n v="8"/>
    <n v="8.27"/>
    <n v="0.27"/>
    <n v="19.850000000000001"/>
    <n v="164.16"/>
    <n v="13.11"/>
    <n v="59.28"/>
    <n v="27272.400000000001"/>
    <d v="2021-05-12T00:00:00"/>
    <s v="Sí"/>
  </r>
  <r>
    <s v="TUR10225"/>
    <s v="EMP6026"/>
    <x v="96"/>
    <x v="3"/>
    <s v="Gestor de Nóminas"/>
    <x v="1"/>
    <x v="2"/>
    <n v="2"/>
    <s v="Femenino"/>
    <d v="2024-09-18T00:00:00"/>
    <s v="2024-09"/>
    <x v="0"/>
    <n v="8"/>
    <x v="2"/>
    <n v="8"/>
    <n v="0"/>
    <n v="-8"/>
    <n v="14.31"/>
    <n v="0"/>
    <n v="15.19"/>
    <n v="-121.52"/>
    <n v="31599.119999999999"/>
    <d v="2023-09-07T00:00:00"/>
    <s v="Sí"/>
  </r>
  <r>
    <s v="TUR10226"/>
    <s v="EMP3639"/>
    <x v="139"/>
    <x v="0"/>
    <s v="Gestor de Flota"/>
    <x v="0"/>
    <x v="1"/>
    <n v="6"/>
    <s v="Masculino"/>
    <d v="2024-09-17T00:00:00"/>
    <s v="2024-09"/>
    <x v="1"/>
    <n v="6"/>
    <x v="3"/>
    <n v="8"/>
    <n v="5.67"/>
    <n v="-2.33"/>
    <n v="26.66"/>
    <n v="151.16"/>
    <n v="11.61"/>
    <n v="58.28"/>
    <n v="24154.63"/>
    <d v="2019-10-01T00:00:00"/>
    <s v="No"/>
  </r>
  <r>
    <s v="TUR10227"/>
    <s v="EMP4804"/>
    <x v="140"/>
    <x v="0"/>
    <s v="Coordinador Logístico"/>
    <x v="3"/>
    <x v="0"/>
    <n v="1"/>
    <s v="Femenino"/>
    <d v="2024-09-10T00:00:00"/>
    <s v="2024-09"/>
    <x v="3"/>
    <n v="14"/>
    <x v="0"/>
    <n v="8"/>
    <n v="8.14"/>
    <n v="0.14000000000000001"/>
    <n v="22.92"/>
    <n v="186.57"/>
    <n v="25.27"/>
    <n v="-15.59"/>
    <n v="52555.14"/>
    <d v="2024-09-19T00:00:00"/>
    <s v="Sí"/>
  </r>
  <r>
    <s v="TUR10228"/>
    <s v="EMP7319"/>
    <x v="137"/>
    <x v="7"/>
    <s v="Administrativo"/>
    <x v="0"/>
    <x v="1"/>
    <n v="6"/>
    <s v="Femenino"/>
    <d v="2024-07-09T00:00:00"/>
    <s v="2024-07"/>
    <x v="3"/>
    <n v="14"/>
    <x v="1"/>
    <n v="8"/>
    <n v="0"/>
    <n v="-8"/>
    <n v="14.17"/>
    <n v="0"/>
    <n v="26.11"/>
    <n v="-208.88"/>
    <n v="54318.06"/>
    <d v="2020-03-09T00:00:00"/>
    <s v="No"/>
  </r>
  <r>
    <s v="TUR10229"/>
    <s v="EMP4387"/>
    <x v="8"/>
    <x v="5"/>
    <s v="Inspector de Calidad"/>
    <x v="1"/>
    <x v="1"/>
    <n v="3"/>
    <s v="Femenino"/>
    <d v="2024-12-13T00:00:00"/>
    <s v="2024-12"/>
    <x v="1"/>
    <n v="6"/>
    <x v="0"/>
    <n v="8"/>
    <n v="8.33"/>
    <n v="0.33"/>
    <n v="13.94"/>
    <n v="116.12"/>
    <n v="26.1"/>
    <n v="-92.68"/>
    <n v="54281.82"/>
    <d v="2023-02-08T00:00:00"/>
    <s v="Pendiente"/>
  </r>
  <r>
    <s v="TUR10230"/>
    <s v="EMP1732"/>
    <x v="141"/>
    <x v="2"/>
    <s v="Desarrollador"/>
    <x v="1"/>
    <x v="0"/>
    <n v="5"/>
    <s v="Masculino"/>
    <d v="2024-10-29T00:00:00"/>
    <s v="2024-10"/>
    <x v="1"/>
    <n v="6"/>
    <x v="0"/>
    <n v="8"/>
    <n v="7.8"/>
    <n v="-0.2"/>
    <n v="24.19"/>
    <n v="188.68"/>
    <n v="25.2"/>
    <n v="-12.92"/>
    <n v="52407.13"/>
    <d v="2020-10-08T00:00:00"/>
    <s v="Sí"/>
  </r>
  <r>
    <s v="TUR10231"/>
    <s v="EMP7070"/>
    <x v="142"/>
    <x v="1"/>
    <s v="Key Account Manager"/>
    <x v="1"/>
    <x v="2"/>
    <n v="5"/>
    <s v="Femenino"/>
    <d v="2024-07-14T00:00:00"/>
    <s v="2024-07"/>
    <x v="3"/>
    <n v="14"/>
    <x v="2"/>
    <n v="8"/>
    <n v="0"/>
    <n v="-8"/>
    <n v="13.05"/>
    <n v="0"/>
    <n v="18.34"/>
    <n v="-146.72"/>
    <n v="38145.24"/>
    <d v="2021-04-22T00:00:00"/>
    <s v="No"/>
  </r>
  <r>
    <s v="TUR10232"/>
    <s v="EMP2020"/>
    <x v="102"/>
    <x v="1"/>
    <s v="Técnico Comercial"/>
    <x v="2"/>
    <x v="3"/>
    <n v="3"/>
    <s v="Masculino"/>
    <d v="2024-11-21T00:00:00"/>
    <s v="2024-11"/>
    <x v="2"/>
    <n v="22"/>
    <x v="0"/>
    <n v="8"/>
    <n v="8.1300000000000008"/>
    <n v="0.13"/>
    <n v="19.34"/>
    <n v="157.22999999999999"/>
    <n v="18"/>
    <n v="13.23"/>
    <n v="37442.65"/>
    <d v="2023-03-01T00:00:00"/>
    <s v="Sí"/>
  </r>
  <r>
    <s v="TUR10233"/>
    <s v="EMP2103"/>
    <x v="143"/>
    <x v="5"/>
    <s v="Inspector de Calidad"/>
    <x v="2"/>
    <x v="0"/>
    <n v="2"/>
    <s v="Masculino"/>
    <d v="2024-08-19T00:00:00"/>
    <s v="2024-08"/>
    <x v="1"/>
    <n v="6"/>
    <x v="1"/>
    <n v="8"/>
    <n v="0"/>
    <n v="-8"/>
    <n v="13.51"/>
    <n v="0"/>
    <n v="20.6"/>
    <n v="-164.8"/>
    <n v="42837.94"/>
    <d v="2023-08-10T00:00:00"/>
    <s v="Pendiente"/>
  </r>
  <r>
    <s v="TUR10234"/>
    <s v="EMP9543"/>
    <x v="144"/>
    <x v="0"/>
    <s v="Coordinador Logístico"/>
    <x v="3"/>
    <x v="3"/>
    <n v="2"/>
    <s v="Masculino"/>
    <d v="2024-09-30T00:00:00"/>
    <s v="2024-09"/>
    <x v="0"/>
    <n v="8"/>
    <x v="0"/>
    <n v="8"/>
    <n v="8.19"/>
    <n v="0.19"/>
    <n v="13.66"/>
    <n v="111.88"/>
    <n v="16.239999999999998"/>
    <n v="-18.04"/>
    <n v="33772.120000000003"/>
    <d v="2024-04-25T00:00:00"/>
    <s v="No"/>
  </r>
  <r>
    <s v="TUR10235"/>
    <s v="EMP6905"/>
    <x v="145"/>
    <x v="7"/>
    <s v="Administrativo"/>
    <x v="3"/>
    <x v="2"/>
    <n v="5"/>
    <s v="Masculino"/>
    <d v="2024-09-19T00:00:00"/>
    <s v="2024-09"/>
    <x v="3"/>
    <n v="14"/>
    <x v="0"/>
    <n v="8"/>
    <n v="8.32"/>
    <n v="0.32"/>
    <n v="18.649999999999999"/>
    <n v="155.16999999999999"/>
    <n v="21.57"/>
    <n v="-17.39"/>
    <n v="44861.57"/>
    <d v="2020-09-08T00:00:00"/>
    <s v="Sí"/>
  </r>
  <r>
    <s v="TUR10236"/>
    <s v="EMP4804"/>
    <x v="140"/>
    <x v="0"/>
    <s v="Coordinador Logístico"/>
    <x v="3"/>
    <x v="0"/>
    <n v="1"/>
    <s v="Femenino"/>
    <d v="2024-08-12T00:00:00"/>
    <s v="2024-08"/>
    <x v="2"/>
    <n v="22"/>
    <x v="0"/>
    <n v="8"/>
    <n v="7.78"/>
    <n v="-0.22"/>
    <n v="12.53"/>
    <n v="97.48"/>
    <n v="25.27"/>
    <n v="-104.68"/>
    <n v="52555.14"/>
    <d v="2024-09-19T00:00:00"/>
    <s v="No"/>
  </r>
  <r>
    <s v="TUR10237"/>
    <s v="EMP7730"/>
    <x v="91"/>
    <x v="6"/>
    <s v="Mozo de Almacén"/>
    <x v="2"/>
    <x v="1"/>
    <n v="5"/>
    <s v="Masculino"/>
    <d v="2024-11-05T00:00:00"/>
    <s v="2024-11"/>
    <x v="0"/>
    <n v="8"/>
    <x v="0"/>
    <n v="8"/>
    <n v="8.06"/>
    <n v="0.06"/>
    <n v="25.49"/>
    <n v="205.45"/>
    <n v="16.66"/>
    <n v="72.17"/>
    <n v="34649.06"/>
    <d v="2021-02-09T00:00:00"/>
    <s v="No"/>
  </r>
  <r>
    <s v="TUR10238"/>
    <s v="EMP7567"/>
    <x v="146"/>
    <x v="7"/>
    <s v="Auxiliar Administrativo"/>
    <x v="2"/>
    <x v="0"/>
    <n v="3"/>
    <s v="Femenino"/>
    <d v="2024-12-29T00:00:00"/>
    <s v="2024-12"/>
    <x v="3"/>
    <n v="14"/>
    <x v="0"/>
    <n v="8"/>
    <n v="8.1199999999999992"/>
    <n v="0.12"/>
    <n v="18.170000000000002"/>
    <n v="147.54"/>
    <n v="8.7799999999999994"/>
    <n v="77.3"/>
    <n v="18252.71"/>
    <d v="2022-10-09T00:00:00"/>
    <s v="Sí"/>
  </r>
  <r>
    <s v="TUR10239"/>
    <s v="EMP9683"/>
    <x v="147"/>
    <x v="3"/>
    <s v="Técnico de RRHH"/>
    <x v="2"/>
    <x v="1"/>
    <n v="6"/>
    <s v="Femenino"/>
    <d v="2024-11-19T00:00:00"/>
    <s v="2024-11"/>
    <x v="1"/>
    <n v="6"/>
    <x v="0"/>
    <n v="8"/>
    <n v="8.02"/>
    <n v="0.02"/>
    <n v="14"/>
    <n v="112.28"/>
    <n v="25.06"/>
    <n v="-88.2"/>
    <n v="52122.37"/>
    <d v="2020-03-04T00:00:00"/>
    <s v="Sí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4B1EC6-123F-4B56-99C4-5498B38249AC}" name="TD_Ranking" cacheId="3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I20:J169" firstHeaderRow="1" firstDataRow="1" firstDataCol="1"/>
  <pivotFields count="24">
    <pivotField showAll="0"/>
    <pivotField showAll="0"/>
    <pivotField axis="axisRow" showAll="0" sortType="descending">
      <items count="149">
        <item x="109"/>
        <item x="63"/>
        <item x="42"/>
        <item x="45"/>
        <item x="118"/>
        <item x="108"/>
        <item x="33"/>
        <item x="24"/>
        <item x="130"/>
        <item x="120"/>
        <item x="87"/>
        <item x="48"/>
        <item x="135"/>
        <item x="20"/>
        <item x="77"/>
        <item x="144"/>
        <item x="59"/>
        <item x="73"/>
        <item x="74"/>
        <item x="0"/>
        <item x="65"/>
        <item x="1"/>
        <item x="145"/>
        <item x="143"/>
        <item x="7"/>
        <item x="116"/>
        <item x="123"/>
        <item x="19"/>
        <item x="52"/>
        <item x="11"/>
        <item x="127"/>
        <item x="141"/>
        <item x="102"/>
        <item x="133"/>
        <item x="112"/>
        <item x="114"/>
        <item x="4"/>
        <item x="94"/>
        <item x="30"/>
        <item x="50"/>
        <item x="98"/>
        <item x="119"/>
        <item x="125"/>
        <item x="9"/>
        <item x="142"/>
        <item x="81"/>
        <item x="121"/>
        <item x="68"/>
        <item x="70"/>
        <item x="35"/>
        <item x="140"/>
        <item x="61"/>
        <item x="12"/>
        <item x="14"/>
        <item x="72"/>
        <item x="69"/>
        <item x="96"/>
        <item x="110"/>
        <item x="93"/>
        <item x="92"/>
        <item x="53"/>
        <item x="27"/>
        <item x="78"/>
        <item x="64"/>
        <item x="131"/>
        <item x="10"/>
        <item x="88"/>
        <item x="39"/>
        <item x="95"/>
        <item x="58"/>
        <item x="17"/>
        <item x="36"/>
        <item x="18"/>
        <item x="113"/>
        <item x="105"/>
        <item x="6"/>
        <item x="8"/>
        <item x="128"/>
        <item x="103"/>
        <item x="67"/>
        <item x="76"/>
        <item x="79"/>
        <item x="85"/>
        <item x="22"/>
        <item x="26"/>
        <item x="38"/>
        <item x="62"/>
        <item x="28"/>
        <item x="5"/>
        <item x="54"/>
        <item x="41"/>
        <item x="86"/>
        <item x="83"/>
        <item x="44"/>
        <item x="138"/>
        <item x="90"/>
        <item x="46"/>
        <item x="15"/>
        <item x="84"/>
        <item x="89"/>
        <item x="139"/>
        <item x="147"/>
        <item x="82"/>
        <item x="100"/>
        <item x="106"/>
        <item x="107"/>
        <item x="21"/>
        <item x="124"/>
        <item x="23"/>
        <item x="25"/>
        <item x="122"/>
        <item x="13"/>
        <item x="71"/>
        <item x="43"/>
        <item x="51"/>
        <item x="37"/>
        <item x="47"/>
        <item x="80"/>
        <item x="56"/>
        <item x="104"/>
        <item x="97"/>
        <item x="66"/>
        <item x="55"/>
        <item x="29"/>
        <item x="2"/>
        <item x="134"/>
        <item x="34"/>
        <item x="146"/>
        <item x="31"/>
        <item x="99"/>
        <item x="129"/>
        <item x="115"/>
        <item x="126"/>
        <item x="136"/>
        <item x="91"/>
        <item x="49"/>
        <item x="3"/>
        <item x="111"/>
        <item x="57"/>
        <item x="40"/>
        <item x="32"/>
        <item x="60"/>
        <item x="16"/>
        <item x="117"/>
        <item x="132"/>
        <item x="101"/>
        <item x="137"/>
        <item x="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numFmtId="14" showAll="0"/>
    <pivotField showAll="0"/>
  </pivotFields>
  <rowFields count="1">
    <field x="2"/>
  </rowFields>
  <rowItems count="149">
    <i>
      <x v="106"/>
    </i>
    <i>
      <x v="1"/>
    </i>
    <i>
      <x v="112"/>
    </i>
    <i>
      <x v="124"/>
    </i>
    <i>
      <x v="27"/>
    </i>
    <i>
      <x v="134"/>
    </i>
    <i>
      <x v="88"/>
    </i>
    <i>
      <x v="75"/>
    </i>
    <i>
      <x v="67"/>
    </i>
    <i>
      <x v="65"/>
    </i>
    <i>
      <x v="61"/>
    </i>
    <i>
      <x v="122"/>
    </i>
    <i>
      <x v="140"/>
    </i>
    <i>
      <x v="7"/>
    </i>
    <i>
      <x v="147"/>
    </i>
    <i>
      <x v="58"/>
    </i>
    <i>
      <x v="123"/>
    </i>
    <i>
      <x v="117"/>
    </i>
    <i>
      <x v="119"/>
    </i>
    <i>
      <x v="135"/>
    </i>
    <i>
      <x v="39"/>
    </i>
    <i>
      <x v="36"/>
    </i>
    <i>
      <x v="21"/>
    </i>
    <i>
      <x v="28"/>
    </i>
    <i>
      <x v="32"/>
    </i>
    <i>
      <x v="50"/>
    </i>
    <i>
      <x v="62"/>
    </i>
    <i>
      <x v="111"/>
    </i>
    <i>
      <x v="83"/>
    </i>
    <i>
      <x v="72"/>
    </i>
    <i>
      <x v="16"/>
    </i>
    <i>
      <x v="84"/>
    </i>
    <i>
      <x v="20"/>
    </i>
    <i>
      <x v="90"/>
    </i>
    <i>
      <x v="11"/>
    </i>
    <i>
      <x v="63"/>
    </i>
    <i>
      <x v="56"/>
    </i>
    <i>
      <x v="85"/>
    </i>
    <i>
      <x v="110"/>
    </i>
    <i>
      <x v="52"/>
    </i>
    <i>
      <x v="129"/>
    </i>
    <i>
      <x v="68"/>
    </i>
    <i>
      <x v="125"/>
    </i>
    <i>
      <x v="42"/>
    </i>
    <i>
      <x v="82"/>
    </i>
    <i>
      <x v="59"/>
    </i>
    <i>
      <x v="77"/>
    </i>
    <i>
      <x v="144"/>
    </i>
    <i>
      <x v="6"/>
    </i>
    <i>
      <x v="19"/>
    </i>
    <i>
      <x v="108"/>
    </i>
    <i>
      <x v="81"/>
    </i>
    <i>
      <x v="76"/>
    </i>
    <i>
      <x v="142"/>
    </i>
    <i>
      <x v="22"/>
    </i>
    <i>
      <x v="69"/>
    </i>
    <i>
      <x v="98"/>
    </i>
    <i>
      <x v="10"/>
    </i>
    <i>
      <x v="113"/>
    </i>
    <i>
      <x v="145"/>
    </i>
    <i>
      <x v="86"/>
    </i>
    <i>
      <x v="14"/>
    </i>
    <i>
      <x v="96"/>
    </i>
    <i>
      <x v="8"/>
    </i>
    <i>
      <x v="33"/>
    </i>
    <i>
      <x v="43"/>
    </i>
    <i>
      <x v="12"/>
    </i>
    <i>
      <x v="17"/>
    </i>
    <i>
      <x v="15"/>
    </i>
    <i>
      <x v="70"/>
    </i>
    <i>
      <x v="116"/>
    </i>
    <i>
      <x v="29"/>
    </i>
    <i>
      <x v="105"/>
    </i>
    <i>
      <x v="37"/>
    </i>
    <i>
      <x v="91"/>
    </i>
    <i>
      <x v="57"/>
    </i>
    <i>
      <x v="97"/>
    </i>
    <i>
      <x v="127"/>
    </i>
    <i>
      <x v="48"/>
    </i>
    <i>
      <x v="5"/>
    </i>
    <i>
      <x v="46"/>
    </i>
    <i>
      <x v="103"/>
    </i>
    <i>
      <x v="74"/>
    </i>
    <i>
      <x v="139"/>
    </i>
    <i>
      <x v="89"/>
    </i>
    <i>
      <x v="128"/>
    </i>
    <i>
      <x v="109"/>
    </i>
    <i>
      <x v="3"/>
    </i>
    <i>
      <x v="99"/>
    </i>
    <i>
      <x v="49"/>
    </i>
    <i>
      <x v="101"/>
    </i>
    <i>
      <x v="35"/>
    </i>
    <i>
      <x v="120"/>
    </i>
    <i>
      <x v="102"/>
    </i>
    <i>
      <x v="25"/>
    </i>
    <i>
      <x v="64"/>
    </i>
    <i>
      <x v="66"/>
    </i>
    <i>
      <x v="38"/>
    </i>
    <i>
      <x v="78"/>
    </i>
    <i>
      <x v="71"/>
    </i>
    <i>
      <x v="138"/>
    </i>
    <i>
      <x v="79"/>
    </i>
    <i>
      <x v="93"/>
    </i>
    <i>
      <x v="54"/>
    </i>
    <i>
      <x v="143"/>
    </i>
    <i>
      <x v="34"/>
    </i>
    <i>
      <x v="45"/>
    </i>
    <i>
      <x v="141"/>
    </i>
    <i>
      <x v="132"/>
    </i>
    <i>
      <x v="133"/>
    </i>
    <i>
      <x v="18"/>
    </i>
    <i>
      <x v="137"/>
    </i>
    <i>
      <x v="31"/>
    </i>
    <i>
      <x/>
    </i>
    <i>
      <x v="13"/>
    </i>
    <i>
      <x v="131"/>
    </i>
    <i>
      <x v="104"/>
    </i>
    <i>
      <x v="41"/>
    </i>
    <i>
      <x v="51"/>
    </i>
    <i>
      <x v="87"/>
    </i>
    <i>
      <x v="95"/>
    </i>
    <i>
      <x v="100"/>
    </i>
    <i>
      <x v="9"/>
    </i>
    <i>
      <x v="118"/>
    </i>
    <i>
      <x v="115"/>
    </i>
    <i>
      <x v="44"/>
    </i>
    <i>
      <x v="121"/>
    </i>
    <i>
      <x v="107"/>
    </i>
    <i>
      <x v="60"/>
    </i>
    <i>
      <x v="23"/>
    </i>
    <i>
      <x v="126"/>
    </i>
    <i>
      <x v="55"/>
    </i>
    <i>
      <x v="26"/>
    </i>
    <i>
      <x v="92"/>
    </i>
    <i>
      <x v="136"/>
    </i>
    <i>
      <x v="2"/>
    </i>
    <i>
      <x v="30"/>
    </i>
    <i>
      <x v="146"/>
    </i>
    <i>
      <x v="4"/>
    </i>
    <i>
      <x v="114"/>
    </i>
    <i>
      <x v="53"/>
    </i>
    <i>
      <x v="24"/>
    </i>
    <i>
      <x v="40"/>
    </i>
    <i>
      <x v="47"/>
    </i>
    <i>
      <x v="94"/>
    </i>
    <i>
      <x v="80"/>
    </i>
    <i>
      <x v="130"/>
    </i>
    <i>
      <x v="73"/>
    </i>
    <i t="grand">
      <x/>
    </i>
  </rowItems>
  <colItems count="1">
    <i/>
  </colItems>
  <dataFields count="1">
    <dataField name="Horas Trabajadas" fld="15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A2C733-4C89-4DD4-B9FB-398BBD1DA646}" name="TD_Absentismo" cacheId="3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20:F26" firstHeaderRow="1" firstDataRow="2" firstDataCol="1"/>
  <pivotFields count="24">
    <pivotField dataField="1" showAll="0"/>
    <pivotField showAll="0"/>
    <pivotField showAll="0"/>
    <pivotField showAll="0"/>
    <pivotField showAll="0"/>
    <pivotField showAll="0"/>
    <pivotField axis="axisRow" showAll="0">
      <items count="5">
        <item x="1"/>
        <item x="3"/>
        <item x="2"/>
        <item x="0"/>
        <item t="default"/>
      </items>
    </pivotField>
    <pivotField showAll="0"/>
    <pivotField showAll="0"/>
    <pivotField numFmtId="14" showAll="0"/>
    <pivotField showAll="0"/>
    <pivotField showAll="0"/>
    <pivotField showAll="0"/>
    <pivotField axis="axisCol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 t="grand">
      <x/>
    </i>
  </colItems>
  <dataFields count="1">
    <dataField name="Turnos" fld="0" subtotal="count" baseField="0" baseItem="0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9C437-4CBC-4734-8F69-46A985E9D8E7}" name="TD_Costes" cacheId="3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>
  <location ref="R2:W8" firstHeaderRow="1" firstDataRow="2" firstDataCol="1"/>
  <pivotFields count="24"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numFmtId="14" showAll="0"/>
    <pivotField showAll="0"/>
    <pivotField axis="axisCol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numFmtId="14"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11"/>
  </colFields>
  <colItems count="5">
    <i>
      <x/>
    </i>
    <i>
      <x v="1"/>
    </i>
    <i>
      <x v="2"/>
    </i>
    <i>
      <x v="3"/>
    </i>
    <i t="grand">
      <x/>
    </i>
  </colItems>
  <dataFields count="1">
    <dataField name="Coste EUR" fld="18" baseField="0" baseItem="0" numFmtId="3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0E4E4C-A628-455E-B77B-3E805C8E9C09}" name="TD_Horas" cacheId="3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>
  <location ref="I2:L11" firstHeaderRow="0" firstDataRow="1" firstDataCol="1"/>
  <pivotFields count="24">
    <pivotField showAll="0"/>
    <pivotField showAll="0"/>
    <pivotField showAll="0"/>
    <pivotField axis="axisRow" showAll="0">
      <items count="9">
        <item x="7"/>
        <item x="6"/>
        <item x="5"/>
        <item x="1"/>
        <item x="2"/>
        <item x="0"/>
        <item x="4"/>
        <item x="3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numFmtId="14"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oras Teoricas" fld="14" baseField="0" baseItem="0" numFmtId="164"/>
    <dataField name="Horas Reales" fld="15" baseField="0" baseItem="0" numFmtId="164"/>
    <dataField name="Desviacion" fld="16" baseField="0" baseItem="0" numFmtId="16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910093-520D-43E3-9A47-DE664FC719C7}" name="TD_Asistencia" cacheId="3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>
  <location ref="A2:F12" firstHeaderRow="1" firstDataRow="2" firstDataCol="1"/>
  <pivotFields count="24">
    <pivotField dataField="1" showAll="0"/>
    <pivotField showAll="0"/>
    <pivotField showAll="0"/>
    <pivotField axis="axisRow" showAll="0">
      <items count="9">
        <item x="7"/>
        <item x="6"/>
        <item x="5"/>
        <item x="1"/>
        <item x="2"/>
        <item x="0"/>
        <item x="4"/>
        <item x="3"/>
        <item t="default"/>
      </items>
    </pivotField>
    <pivotField showAll="0"/>
    <pivotField showAll="0"/>
    <pivotField showAll="0"/>
    <pivotField showAll="0"/>
    <pivotField showAll="0"/>
    <pivotField numFmtId="14" showAll="0"/>
    <pivotField showAll="0"/>
    <pivotField showAll="0"/>
    <pivotField showAll="0"/>
    <pivotField axis="axisCol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3"/>
  </colFields>
  <colItems count="5">
    <i>
      <x/>
    </i>
    <i>
      <x v="1"/>
    </i>
    <i>
      <x v="2"/>
    </i>
    <i>
      <x v="3"/>
    </i>
    <i t="grand">
      <x/>
    </i>
  </colItems>
  <dataFields count="1">
    <dataField name="N Turnos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3" xr16:uid="{BB959101-8664-48C3-AF66-F431B946D191}" autoFormatId="16" applyNumberFormats="0" applyBorderFormats="0" applyFontFormats="0" applyPatternFormats="0" applyAlignmentFormats="0" applyWidthHeightFormats="0">
  <queryTableRefresh nextId="14">
    <queryTableFields count="13">
      <queryTableField id="1" name="ID_Turno" tableColumnId="1"/>
      <queryTableField id="2" name="ID_Empleado" tableColumnId="2"/>
      <queryTableField id="3" name="Fecha" tableColumnId="3"/>
      <queryTableField id="4" name="Mes_Ano" tableColumnId="4"/>
      <queryTableField id="5" name="Tipo_Turno" tableColumnId="5"/>
      <queryTableField id="6" name="Hora_Inicio" tableColumnId="6"/>
      <queryTableField id="7" name="Estado_Turno" tableColumnId="7"/>
      <queryTableField id="8" name="Horas_Teoricas" tableColumnId="8"/>
      <queryTableField id="9" name="Horas_Reales" tableColumnId="9"/>
      <queryTableField id="10" name="Desviacion_Horas" tableColumnId="10"/>
      <queryTableField id="11" name="Tarifa_Hora_EUR" tableColumnId="11"/>
      <queryTableField id="12" name="Coste_Real_EUR" tableColumnId="12"/>
      <queryTableField id="13" name="Validado_RRHH" tableColumnId="1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E75A323B-BE73-4243-87F3-F10345B371B1}" autoFormatId="16" applyNumberFormats="0" applyBorderFormats="0" applyFontFormats="0" applyPatternFormats="0" applyAlignmentFormats="0" applyWidthHeightFormats="0">
  <queryTableRefresh nextId="18">
    <queryTableFields count="17">
      <queryTableField id="1" name="ID_Empleado" tableColumnId="1"/>
      <queryTableField id="2" name="Nombre_Completo" tableColumnId="2"/>
      <queryTableField id="3" name="Nombre" tableColumnId="3"/>
      <queryTableField id="4" name="Apellido_1" tableColumnId="4"/>
      <queryTableField id="5" name="Apellido_2" tableColumnId="5"/>
      <queryTableField id="6" name="Departamento" tableColumnId="6"/>
      <queryTableField id="7" name="Cargo" tableColumnId="7"/>
      <queryTableField id="8" name="Centro_Trabajo" tableColumnId="8"/>
      <queryTableField id="9" name="Tipo_Contrato" tableColumnId="9"/>
      <queryTableField id="10" name="Salario_Anual_EUR" tableColumnId="10"/>
      <queryTableField id="11" name="Fecha_Alta" tableColumnId="11"/>
      <queryTableField id="12" name="Antiguedad_Anos" tableColumnId="12"/>
      <queryTableField id="13" name="Activo" tableColumnId="13"/>
      <queryTableField id="14" name="Email" tableColumnId="14"/>
      <queryTableField id="15" name="Telefono" tableColumnId="15"/>
      <queryTableField id="16" name="Pais" tableColumnId="16"/>
      <queryTableField id="17" name="Sexo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2" xr16:uid="{07231EB7-5626-4FB7-B89F-183EBA995906}" autoFormatId="16" applyNumberFormats="0" applyBorderFormats="0" applyFontFormats="0" applyPatternFormats="0" applyAlignmentFormats="0" applyWidthHeightFormats="0">
  <queryTableRefresh nextId="25">
    <queryTableFields count="24">
      <queryTableField id="1" name="ID_Turno" tableColumnId="1"/>
      <queryTableField id="2" name="ID_Empleado" tableColumnId="2"/>
      <queryTableField id="3" name="Nombre_Completo" tableColumnId="3"/>
      <queryTableField id="4" name="Departamento" tableColumnId="4"/>
      <queryTableField id="5" name="Cargo" tableColumnId="5"/>
      <queryTableField id="6" name="Centro_Trabajo" tableColumnId="6"/>
      <queryTableField id="7" name="Tipo_Contrato" tableColumnId="7"/>
      <queryTableField id="8" name="Antiguedad_Anos" tableColumnId="8"/>
      <queryTableField id="9" name="Sexo" tableColumnId="9"/>
      <queryTableField id="10" name="Fecha" tableColumnId="10"/>
      <queryTableField id="11" name="Mes_Ano" tableColumnId="11"/>
      <queryTableField id="12" name="Tipo_Turno" tableColumnId="12"/>
      <queryTableField id="13" name="Hora_Inicio" tableColumnId="13"/>
      <queryTableField id="14" name="Estado_Turno" tableColumnId="14"/>
      <queryTableField id="15" name="Horas_Teoricas" tableColumnId="15"/>
      <queryTableField id="16" name="Horas_Reales" tableColumnId="16"/>
      <queryTableField id="17" name="Desviacion_Horas" tableColumnId="17"/>
      <queryTableField id="18" name="Tarifa_Hora_EUR" tableColumnId="18"/>
      <queryTableField id="19" name="Coste_Real_EUR" tableColumnId="19"/>
      <queryTableField id="20" name="Coste_Hora_Teorico" tableColumnId="20"/>
      <queryTableField id="21" name="Desviacion_Coste_EUR" tableColumnId="21"/>
      <queryTableField id="22" name="Salario_Anual_EUR" tableColumnId="22"/>
      <queryTableField id="23" name="Fecha_Alta_Empleado" tableColumnId="23"/>
      <queryTableField id="24" name="Validado_RRHH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0AB1AC-662E-4C2E-8315-62BD3EF5A6DE}" name="Turnos_Limpio" displayName="Turnos_Limpio" ref="A1:M242" tableType="queryTable" totalsRowShown="0">
  <autoFilter ref="A1:M242" xr:uid="{640AB1AC-662E-4C2E-8315-62BD3EF5A6DE}"/>
  <tableColumns count="13">
    <tableColumn id="1" xr3:uid="{C4D17421-833F-4E64-881A-CE68282FF788}" uniqueName="1" name="ID_Turno" queryTableFieldId="1" dataDxfId="6"/>
    <tableColumn id="2" xr3:uid="{541109C0-C904-4009-919E-C0063968BE9C}" uniqueName="2" name="ID_Empleado" queryTableFieldId="2" dataDxfId="5"/>
    <tableColumn id="3" xr3:uid="{9C44EBB4-CF95-4C2C-9215-F347E3D4FB80}" uniqueName="3" name="Fecha" queryTableFieldId="3" dataDxfId="4"/>
    <tableColumn id="4" xr3:uid="{8AB0B786-8618-40B1-8F9A-421546D213BE}" uniqueName="4" name="Mes_Ano" queryTableFieldId="4" dataDxfId="3"/>
    <tableColumn id="5" xr3:uid="{D3C4E897-AF61-49C5-870A-C332A995E087}" uniqueName="5" name="Tipo_Turno" queryTableFieldId="5" dataDxfId="2"/>
    <tableColumn id="6" xr3:uid="{260F56F6-B702-4672-B460-A1F4A5ACB6C0}" uniqueName="6" name="Hora_Inicio" queryTableFieldId="6"/>
    <tableColumn id="7" xr3:uid="{4568D045-868F-4BC8-AEC3-752D0ABE1CAD}" uniqueName="7" name="Estado_Turno" queryTableFieldId="7" dataDxfId="1"/>
    <tableColumn id="8" xr3:uid="{AEAD6BEF-25A5-492E-B914-427FF37AAEE2}" uniqueName="8" name="Horas_Teoricas" queryTableFieldId="8"/>
    <tableColumn id="9" xr3:uid="{6FB1CBEA-A4A0-417D-A9CC-BFEFF89567C4}" uniqueName="9" name="Horas_Reales" queryTableFieldId="9"/>
    <tableColumn id="10" xr3:uid="{F8B8978A-0724-4377-9A4F-05CD57236613}" uniqueName="10" name="Desviacion_Horas" queryTableFieldId="10"/>
    <tableColumn id="11" xr3:uid="{62D09369-6262-44F1-9E48-287B740A8A62}" uniqueName="11" name="Tarifa_Hora_EUR" queryTableFieldId="11"/>
    <tableColumn id="12" xr3:uid="{478AAE42-AEC5-4397-B4B1-87470B57056C}" uniqueName="12" name="Coste_Real_EUR" queryTableFieldId="12"/>
    <tableColumn id="13" xr3:uid="{6659A2C4-F1A3-4817-B96E-0F47764AB2AE}" uniqueName="13" name="Validado_RRHH" queryTableFieldId="13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B9512B-5D7D-4138-8490-A7BE579C01C8}" name="Empleados_Limpio" displayName="Empleados_Limpio" ref="A1:Q222" tableType="queryTable" totalsRowShown="0">
  <autoFilter ref="A1:Q222" xr:uid="{51B9512B-5D7D-4138-8490-A7BE579C01C8}"/>
  <tableColumns count="17">
    <tableColumn id="1" xr3:uid="{D2E2BAA9-A197-490E-8B90-A8B8407DABE9}" uniqueName="1" name="ID_Empleado" queryTableFieldId="1" dataDxfId="35"/>
    <tableColumn id="2" xr3:uid="{DB2CDA1C-E4F7-4782-B048-0C85DE5BA32B}" uniqueName="2" name="Nombre_Completo" queryTableFieldId="2" dataDxfId="34"/>
    <tableColumn id="3" xr3:uid="{DC5895B4-F7AA-4E00-A510-CD6D36AE5991}" uniqueName="3" name="Nombre" queryTableFieldId="3" dataDxfId="33"/>
    <tableColumn id="4" xr3:uid="{1872B5FB-7BF9-46DC-8CC3-B5ECE76FEB02}" uniqueName="4" name="Apellido_1" queryTableFieldId="4" dataDxfId="32"/>
    <tableColumn id="5" xr3:uid="{1580DC8E-E268-46A4-B0FA-65B0787A1AA0}" uniqueName="5" name="Apellido_2" queryTableFieldId="5" dataDxfId="31"/>
    <tableColumn id="6" xr3:uid="{8C177DA1-3726-4067-83B5-481482351323}" uniqueName="6" name="Departamento" queryTableFieldId="6" dataDxfId="30"/>
    <tableColumn id="7" xr3:uid="{5A228A91-3C4E-4536-B070-19718193BBAC}" uniqueName="7" name="Cargo" queryTableFieldId="7" dataDxfId="29"/>
    <tableColumn id="8" xr3:uid="{2A75C3E9-EBC7-477A-A72D-82A49D810595}" uniqueName="8" name="Centro_Trabajo" queryTableFieldId="8" dataDxfId="28"/>
    <tableColumn id="9" xr3:uid="{487FCBB4-353F-433C-BB3E-3385948517CC}" uniqueName="9" name="Tipo_Contrato" queryTableFieldId="9" dataDxfId="27"/>
    <tableColumn id="10" xr3:uid="{4BACF297-8883-451E-882A-3CF51030F127}" uniqueName="10" name="Salario_Anual_EUR" queryTableFieldId="10"/>
    <tableColumn id="11" xr3:uid="{52749C8E-E31A-4595-A008-6ACBF9DD20C4}" uniqueName="11" name="Fecha_Alta" queryTableFieldId="11" dataDxfId="9"/>
    <tableColumn id="12" xr3:uid="{9A33F7F5-38E9-43A8-ADA1-D8937D4883F2}" uniqueName="12" name="Antiguedad_Anos" queryTableFieldId="12"/>
    <tableColumn id="13" xr3:uid="{DDF2DD16-F4D8-4A73-A67C-BE5B2AD2D6EE}" uniqueName="13" name="Activo" queryTableFieldId="13" dataDxfId="26"/>
    <tableColumn id="14" xr3:uid="{0F17D88A-157A-4AED-9B6A-EE95160D044B}" uniqueName="14" name="Email" queryTableFieldId="14" dataDxfId="25"/>
    <tableColumn id="15" xr3:uid="{BA71860A-BC81-4601-8D77-AE63104172C5}" uniqueName="15" name="Telefono" queryTableFieldId="15" dataDxfId="24"/>
    <tableColumn id="16" xr3:uid="{9BA58541-58CA-4CE9-80E6-AA2900EAB283}" uniqueName="16" name="Pais" queryTableFieldId="16" dataDxfId="23"/>
    <tableColumn id="17" xr3:uid="{71AC2076-AEFF-45AD-969C-37AF62EDB6FE}" uniqueName="17" name="Sexo" queryTableFieldId="17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5E32A7-7394-4131-B465-1556BB7E3143}" name="Turnos_y_empleados" displayName="Turnos_y_empleados" ref="A1:X241" tableType="queryTable" totalsRowShown="0">
  <autoFilter ref="A1:X241" xr:uid="{525E32A7-7394-4131-B465-1556BB7E3143}"/>
  <tableColumns count="24">
    <tableColumn id="1" xr3:uid="{2B3DAE54-D749-4BCD-B6F2-B919D1CD1F3F}" uniqueName="1" name="ID_Turno" queryTableFieldId="1" dataDxfId="21"/>
    <tableColumn id="2" xr3:uid="{04BE7F07-1221-45DD-9C01-106EC47FF635}" uniqueName="2" name="ID_Empleado" queryTableFieldId="2" dataDxfId="20"/>
    <tableColumn id="3" xr3:uid="{923C666A-7418-4093-A32D-3072D7E8CC46}" uniqueName="3" name="Nombre_Completo" queryTableFieldId="3" dataDxfId="19"/>
    <tableColumn id="4" xr3:uid="{D2F4F718-0EF2-4BD4-AFBE-4487710E7282}" uniqueName="4" name="Departamento" queryTableFieldId="4" dataDxfId="18"/>
    <tableColumn id="5" xr3:uid="{9464D676-3FC6-4C69-9238-77865F845B7D}" uniqueName="5" name="Cargo" queryTableFieldId="5" dataDxfId="17"/>
    <tableColumn id="6" xr3:uid="{53146309-4C09-44AC-9134-37C71867D9C9}" uniqueName="6" name="Centro_Trabajo" queryTableFieldId="6" dataDxfId="16"/>
    <tableColumn id="7" xr3:uid="{6D356A98-4417-4161-A08F-FFEE011A7501}" uniqueName="7" name="Tipo_Contrato" queryTableFieldId="7" dataDxfId="15"/>
    <tableColumn id="8" xr3:uid="{0A01A3E6-032F-4E7F-8744-D1D8D21DD27D}" uniqueName="8" name="Antiguedad_Anos" queryTableFieldId="8"/>
    <tableColumn id="9" xr3:uid="{21A4595E-7AC6-4EC1-AA49-11562290F166}" uniqueName="9" name="Sexo" queryTableFieldId="9" dataDxfId="14"/>
    <tableColumn id="10" xr3:uid="{86463CA5-1F2C-412A-B4A0-83E1B6CA4F56}" uniqueName="10" name="Fecha" queryTableFieldId="10" dataDxfId="8"/>
    <tableColumn id="11" xr3:uid="{6838B76E-8CA1-4EC8-90E0-E3B745D2F701}" uniqueName="11" name="Mes_Ano" queryTableFieldId="11" dataDxfId="13"/>
    <tableColumn id="12" xr3:uid="{E8B17E80-B36B-4BCB-8D96-0E79EDEB7320}" uniqueName="12" name="Tipo_Turno" queryTableFieldId="12" dataDxfId="12"/>
    <tableColumn id="13" xr3:uid="{9502D0F2-5CEB-4F25-90B2-811EA6A7ABC8}" uniqueName="13" name="Hora_Inicio" queryTableFieldId="13"/>
    <tableColumn id="14" xr3:uid="{E6A1DE78-2C9F-43AA-BBE3-05804DB4EE6A}" uniqueName="14" name="Estado_Turno" queryTableFieldId="14" dataDxfId="11"/>
    <tableColumn id="15" xr3:uid="{298D2DD0-3147-4977-8E1B-337C51819919}" uniqueName="15" name="Horas_Teoricas" queryTableFieldId="15"/>
    <tableColumn id="16" xr3:uid="{C205F5D7-7765-4331-9745-4E6EF85433B8}" uniqueName="16" name="Horas_Reales" queryTableFieldId="16"/>
    <tableColumn id="17" xr3:uid="{D33C7CDD-1FBE-4B72-9C6D-272321A94C3E}" uniqueName="17" name="Desviacion_Horas" queryTableFieldId="17"/>
    <tableColumn id="18" xr3:uid="{ABCB7010-FCF2-4B93-A730-8AF70E08CFCD}" uniqueName="18" name="Tarifa_Hora_EUR" queryTableFieldId="18"/>
    <tableColumn id="19" xr3:uid="{3EDD275A-4A9B-4116-901D-C6E78D7C061D}" uniqueName="19" name="Coste_Real_EUR" queryTableFieldId="19"/>
    <tableColumn id="20" xr3:uid="{3E90F4F3-5270-47D0-99FF-262C7BCCCC2C}" uniqueName="20" name="Coste_Hora_Teorico" queryTableFieldId="20"/>
    <tableColumn id="21" xr3:uid="{B49EAB26-6A0F-4A03-AEBF-AF371D26AB6C}" uniqueName="21" name="Desviacion_Coste_EUR" queryTableFieldId="21"/>
    <tableColumn id="22" xr3:uid="{8313F38D-246F-410C-BF09-04271639B5CE}" uniqueName="22" name="Salario_Anual_EUR" queryTableFieldId="22"/>
    <tableColumn id="23" xr3:uid="{C54F7E3C-8E04-4DC9-8C3C-8F391203C9B6}" uniqueName="23" name="Fecha_Alta_Empleado" queryTableFieldId="23" dataDxfId="7"/>
    <tableColumn id="24" xr3:uid="{4DAB758F-FD1C-44FB-A386-3ED877B97097}" uniqueName="24" name="Validado_RRHH" queryTableFieldId="24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6D460-08B6-46B5-B7FD-402DEDB62E77}">
  <sheetPr codeName="Hoja1"/>
  <dimension ref="A1:M242"/>
  <sheetViews>
    <sheetView workbookViewId="0">
      <selection activeCell="A2" sqref="A2:XFD2"/>
    </sheetView>
  </sheetViews>
  <sheetFormatPr baseColWidth="10" defaultRowHeight="14.4" x14ac:dyDescent="0.3"/>
  <cols>
    <col min="1" max="1" width="80.88671875" bestFit="1" customWidth="1"/>
    <col min="2" max="2" width="14.44140625" bestFit="1" customWidth="1"/>
    <col min="3" max="3" width="10.5546875" bestFit="1" customWidth="1"/>
    <col min="4" max="4" width="11.21875" bestFit="1" customWidth="1"/>
    <col min="5" max="5" width="12.88671875" bestFit="1" customWidth="1"/>
    <col min="6" max="6" width="12.77734375" bestFit="1" customWidth="1"/>
    <col min="7" max="7" width="18.6640625" bestFit="1" customWidth="1"/>
    <col min="8" max="8" width="15.88671875" bestFit="1" customWidth="1"/>
    <col min="9" max="9" width="14.33203125" bestFit="1" customWidth="1"/>
    <col min="10" max="10" width="18" bestFit="1" customWidth="1"/>
    <col min="11" max="11" width="17.44140625" bestFit="1" customWidth="1"/>
    <col min="12" max="12" width="16.88671875" bestFit="1" customWidth="1"/>
    <col min="13" max="13" width="16.33203125" bestFit="1" customWidth="1"/>
  </cols>
  <sheetData>
    <row r="1" spans="1:13" x14ac:dyDescent="0.3">
      <c r="A1" t="s">
        <v>1037</v>
      </c>
      <c r="B1" t="s">
        <v>0</v>
      </c>
      <c r="C1" t="s">
        <v>1038</v>
      </c>
      <c r="D1" t="s">
        <v>1039</v>
      </c>
      <c r="E1" t="s">
        <v>1040</v>
      </c>
      <c r="F1" t="s">
        <v>1041</v>
      </c>
      <c r="G1" t="s">
        <v>1042</v>
      </c>
      <c r="H1" t="s">
        <v>1043</v>
      </c>
      <c r="I1" t="s">
        <v>1044</v>
      </c>
      <c r="J1" t="s">
        <v>1045</v>
      </c>
      <c r="K1" t="s">
        <v>1046</v>
      </c>
      <c r="L1" t="s">
        <v>1047</v>
      </c>
      <c r="M1" t="s">
        <v>1048</v>
      </c>
    </row>
    <row r="2" spans="1:13" x14ac:dyDescent="0.3">
      <c r="A2" s="4" t="s">
        <v>1049</v>
      </c>
      <c r="B2" s="4" t="s">
        <v>995</v>
      </c>
      <c r="C2" s="1">
        <v>45569</v>
      </c>
      <c r="D2" s="4" t="s">
        <v>1050</v>
      </c>
      <c r="E2" s="4" t="s">
        <v>1051</v>
      </c>
      <c r="F2">
        <v>8</v>
      </c>
      <c r="G2" s="4" t="s">
        <v>1052</v>
      </c>
      <c r="H2">
        <v>8</v>
      </c>
      <c r="I2">
        <v>8.35</v>
      </c>
      <c r="J2">
        <v>0.35</v>
      </c>
      <c r="K2">
        <v>17.95</v>
      </c>
      <c r="L2">
        <v>149.88</v>
      </c>
      <c r="M2" s="4" t="s">
        <v>152</v>
      </c>
    </row>
    <row r="3" spans="1:13" x14ac:dyDescent="0.3">
      <c r="A3" s="4" t="s">
        <v>1053</v>
      </c>
      <c r="B3" s="4" t="s">
        <v>190</v>
      </c>
      <c r="C3" s="1">
        <v>45505</v>
      </c>
      <c r="D3" s="4" t="s">
        <v>1054</v>
      </c>
      <c r="E3" s="4" t="s">
        <v>1055</v>
      </c>
      <c r="F3">
        <v>22</v>
      </c>
      <c r="G3" s="4" t="s">
        <v>1052</v>
      </c>
      <c r="H3">
        <v>8</v>
      </c>
      <c r="I3">
        <v>8.06</v>
      </c>
      <c r="J3">
        <v>0.06</v>
      </c>
      <c r="K3">
        <v>22.91</v>
      </c>
      <c r="L3">
        <v>184.65</v>
      </c>
      <c r="M3" s="4" t="s">
        <v>25</v>
      </c>
    </row>
    <row r="4" spans="1:13" x14ac:dyDescent="0.3">
      <c r="A4" s="4" t="s">
        <v>1056</v>
      </c>
      <c r="B4" s="4" t="s">
        <v>250</v>
      </c>
      <c r="C4" s="1">
        <v>45562</v>
      </c>
      <c r="D4" s="4" t="s">
        <v>1057</v>
      </c>
      <c r="E4" s="4" t="s">
        <v>1058</v>
      </c>
      <c r="F4">
        <v>6</v>
      </c>
      <c r="G4" s="4" t="s">
        <v>1052</v>
      </c>
      <c r="H4">
        <v>8</v>
      </c>
      <c r="I4">
        <v>7.9</v>
      </c>
      <c r="J4">
        <v>-0.1</v>
      </c>
      <c r="K4">
        <v>16.84</v>
      </c>
      <c r="L4">
        <v>133.04</v>
      </c>
      <c r="M4" s="4" t="s">
        <v>152</v>
      </c>
    </row>
    <row r="5" spans="1:13" x14ac:dyDescent="0.3">
      <c r="A5" s="4" t="s">
        <v>1059</v>
      </c>
      <c r="B5" s="4" t="s">
        <v>427</v>
      </c>
      <c r="C5" s="1">
        <v>45521</v>
      </c>
      <c r="D5" s="4" t="s">
        <v>1054</v>
      </c>
      <c r="E5" s="4" t="s">
        <v>1055</v>
      </c>
      <c r="F5">
        <v>22</v>
      </c>
      <c r="G5" s="4" t="s">
        <v>1060</v>
      </c>
      <c r="H5">
        <v>8</v>
      </c>
      <c r="I5">
        <v>6.37</v>
      </c>
      <c r="J5">
        <v>-1.63</v>
      </c>
      <c r="K5">
        <v>27.86</v>
      </c>
      <c r="L5">
        <v>177.47</v>
      </c>
      <c r="M5" s="4" t="s">
        <v>25</v>
      </c>
    </row>
    <row r="6" spans="1:13" x14ac:dyDescent="0.3">
      <c r="A6" s="4" t="s">
        <v>1061</v>
      </c>
      <c r="B6" s="4" t="s">
        <v>1011</v>
      </c>
      <c r="C6" s="1">
        <v>45613</v>
      </c>
      <c r="D6" s="4" t="s">
        <v>1062</v>
      </c>
      <c r="E6" s="4" t="s">
        <v>1051</v>
      </c>
      <c r="F6">
        <v>8</v>
      </c>
      <c r="G6" s="4" t="s">
        <v>1063</v>
      </c>
      <c r="H6">
        <v>8</v>
      </c>
      <c r="I6">
        <v>0</v>
      </c>
      <c r="J6">
        <v>-8</v>
      </c>
      <c r="K6">
        <v>14.94</v>
      </c>
      <c r="L6">
        <v>0</v>
      </c>
      <c r="M6" s="4" t="s">
        <v>152</v>
      </c>
    </row>
    <row r="7" spans="1:13" x14ac:dyDescent="0.3">
      <c r="A7" s="4" t="s">
        <v>1064</v>
      </c>
      <c r="B7" s="4" t="s">
        <v>596</v>
      </c>
      <c r="C7" s="1">
        <v>45490</v>
      </c>
      <c r="D7" s="4" t="s">
        <v>1065</v>
      </c>
      <c r="E7" s="4" t="s">
        <v>1066</v>
      </c>
      <c r="F7">
        <v>14</v>
      </c>
      <c r="G7" s="4" t="s">
        <v>1052</v>
      </c>
      <c r="H7">
        <v>8</v>
      </c>
      <c r="I7">
        <v>8.31</v>
      </c>
      <c r="J7">
        <v>0.31</v>
      </c>
      <c r="K7">
        <v>12.25</v>
      </c>
      <c r="L7">
        <v>101.8</v>
      </c>
      <c r="M7" s="4" t="s">
        <v>152</v>
      </c>
    </row>
    <row r="8" spans="1:13" x14ac:dyDescent="0.3">
      <c r="A8" s="4" t="s">
        <v>1067</v>
      </c>
      <c r="B8" s="4" t="s">
        <v>1031</v>
      </c>
      <c r="C8" s="1">
        <v>45617</v>
      </c>
      <c r="D8" s="4" t="s">
        <v>1062</v>
      </c>
      <c r="E8" s="4" t="s">
        <v>1058</v>
      </c>
      <c r="F8">
        <v>6</v>
      </c>
      <c r="G8" s="4" t="s">
        <v>1060</v>
      </c>
      <c r="H8">
        <v>8</v>
      </c>
      <c r="I8">
        <v>5.57</v>
      </c>
      <c r="J8">
        <v>-2.4300000000000002</v>
      </c>
      <c r="K8">
        <v>24.91</v>
      </c>
      <c r="L8">
        <v>138.75</v>
      </c>
      <c r="M8" s="4" t="s">
        <v>152</v>
      </c>
    </row>
    <row r="9" spans="1:13" x14ac:dyDescent="0.3">
      <c r="A9" s="4" t="s">
        <v>1068</v>
      </c>
      <c r="B9" s="4" t="s">
        <v>384</v>
      </c>
      <c r="C9" s="1">
        <v>45638</v>
      </c>
      <c r="D9" s="4" t="s">
        <v>1069</v>
      </c>
      <c r="E9" s="4" t="s">
        <v>1055</v>
      </c>
      <c r="F9">
        <v>22</v>
      </c>
      <c r="G9" s="4" t="s">
        <v>1052</v>
      </c>
      <c r="H9">
        <v>8</v>
      </c>
      <c r="I9">
        <v>7.78</v>
      </c>
      <c r="J9">
        <v>-0.22</v>
      </c>
      <c r="K9">
        <v>21.24</v>
      </c>
      <c r="L9">
        <v>165.25</v>
      </c>
      <c r="M9" s="4" t="s">
        <v>152</v>
      </c>
    </row>
    <row r="10" spans="1:13" x14ac:dyDescent="0.3">
      <c r="A10" s="4" t="s">
        <v>1070</v>
      </c>
      <c r="B10" s="4" t="s">
        <v>805</v>
      </c>
      <c r="C10" s="1">
        <v>45614</v>
      </c>
      <c r="D10" s="4" t="s">
        <v>1062</v>
      </c>
      <c r="E10" s="4" t="s">
        <v>1058</v>
      </c>
      <c r="F10">
        <v>6</v>
      </c>
      <c r="G10" s="4" t="s">
        <v>1052</v>
      </c>
      <c r="H10">
        <v>8</v>
      </c>
      <c r="I10">
        <v>8.1199999999999992</v>
      </c>
      <c r="J10">
        <v>0.12</v>
      </c>
      <c r="K10">
        <v>25.38</v>
      </c>
      <c r="L10">
        <v>206.09</v>
      </c>
      <c r="M10" s="4" t="s">
        <v>1071</v>
      </c>
    </row>
    <row r="11" spans="1:13" x14ac:dyDescent="0.3">
      <c r="A11" s="4" t="s">
        <v>1072</v>
      </c>
      <c r="B11" s="4" t="s">
        <v>90</v>
      </c>
      <c r="C11" s="1">
        <v>45501</v>
      </c>
      <c r="D11" s="4" t="s">
        <v>1065</v>
      </c>
      <c r="E11" s="4" t="s">
        <v>1066</v>
      </c>
      <c r="F11">
        <v>14</v>
      </c>
      <c r="G11" s="4" t="s">
        <v>1073</v>
      </c>
      <c r="H11">
        <v>8</v>
      </c>
      <c r="I11">
        <v>0</v>
      </c>
      <c r="J11">
        <v>-8</v>
      </c>
      <c r="K11">
        <v>14.69</v>
      </c>
      <c r="L11">
        <v>0</v>
      </c>
      <c r="M11" s="4" t="s">
        <v>25</v>
      </c>
    </row>
    <row r="12" spans="1:13" x14ac:dyDescent="0.3">
      <c r="A12" s="4" t="s">
        <v>1074</v>
      </c>
      <c r="B12" s="4" t="s">
        <v>1007</v>
      </c>
      <c r="C12" s="1">
        <v>45568</v>
      </c>
      <c r="D12" s="4" t="s">
        <v>1050</v>
      </c>
      <c r="E12" s="4" t="s">
        <v>1051</v>
      </c>
      <c r="F12">
        <v>8</v>
      </c>
      <c r="G12" s="4" t="s">
        <v>1052</v>
      </c>
      <c r="H12">
        <v>8</v>
      </c>
      <c r="I12">
        <v>8.0500000000000007</v>
      </c>
      <c r="J12">
        <v>0.05</v>
      </c>
      <c r="K12">
        <v>19.559999999999999</v>
      </c>
      <c r="L12">
        <v>157.46</v>
      </c>
      <c r="M12" s="4" t="s">
        <v>25</v>
      </c>
    </row>
    <row r="13" spans="1:13" x14ac:dyDescent="0.3">
      <c r="A13" s="4" t="s">
        <v>1075</v>
      </c>
      <c r="B13" s="4" t="s">
        <v>752</v>
      </c>
      <c r="C13" s="1">
        <v>45515</v>
      </c>
      <c r="D13" s="4" t="s">
        <v>1054</v>
      </c>
      <c r="E13" s="4" t="s">
        <v>1055</v>
      </c>
      <c r="F13">
        <v>22</v>
      </c>
      <c r="G13" s="4" t="s">
        <v>1052</v>
      </c>
      <c r="H13">
        <v>8</v>
      </c>
      <c r="I13">
        <v>8.01</v>
      </c>
      <c r="J13">
        <v>0.01</v>
      </c>
      <c r="K13">
        <v>21.11</v>
      </c>
      <c r="L13">
        <v>169.09</v>
      </c>
      <c r="M13" s="4" t="s">
        <v>152</v>
      </c>
    </row>
    <row r="14" spans="1:13" x14ac:dyDescent="0.3">
      <c r="A14" s="4" t="s">
        <v>1076</v>
      </c>
      <c r="B14" s="4" t="s">
        <v>781</v>
      </c>
      <c r="C14" s="1">
        <v>45592</v>
      </c>
      <c r="D14" s="4" t="s">
        <v>1050</v>
      </c>
      <c r="E14" s="4" t="s">
        <v>1058</v>
      </c>
      <c r="F14">
        <v>6</v>
      </c>
      <c r="G14" s="4" t="s">
        <v>1073</v>
      </c>
      <c r="H14">
        <v>8</v>
      </c>
      <c r="I14">
        <v>0</v>
      </c>
      <c r="J14">
        <v>-8</v>
      </c>
      <c r="K14">
        <v>20.28</v>
      </c>
      <c r="L14">
        <v>0</v>
      </c>
      <c r="M14" s="4" t="s">
        <v>152</v>
      </c>
    </row>
    <row r="15" spans="1:13" x14ac:dyDescent="0.3">
      <c r="A15" s="4" t="s">
        <v>1077</v>
      </c>
      <c r="B15" s="4" t="s">
        <v>245</v>
      </c>
      <c r="C15" s="1">
        <v>45521</v>
      </c>
      <c r="D15" s="4" t="s">
        <v>1054</v>
      </c>
      <c r="E15" s="4" t="s">
        <v>1055</v>
      </c>
      <c r="F15">
        <v>22</v>
      </c>
      <c r="G15" s="4" t="s">
        <v>1052</v>
      </c>
      <c r="H15">
        <v>8</v>
      </c>
      <c r="I15">
        <v>8.35</v>
      </c>
      <c r="J15">
        <v>0.35</v>
      </c>
      <c r="K15">
        <v>27.41</v>
      </c>
      <c r="L15">
        <v>228.87</v>
      </c>
      <c r="M15" s="4" t="s">
        <v>152</v>
      </c>
    </row>
    <row r="16" spans="1:13" x14ac:dyDescent="0.3">
      <c r="A16" s="4" t="s">
        <v>1078</v>
      </c>
      <c r="B16" s="4" t="s">
        <v>983</v>
      </c>
      <c r="C16" s="1">
        <v>45541</v>
      </c>
      <c r="D16" s="4" t="s">
        <v>1057</v>
      </c>
      <c r="E16" s="4" t="s">
        <v>1055</v>
      </c>
      <c r="F16">
        <v>22</v>
      </c>
      <c r="G16" s="4" t="s">
        <v>1052</v>
      </c>
      <c r="H16">
        <v>8</v>
      </c>
      <c r="I16">
        <v>8.1</v>
      </c>
      <c r="J16">
        <v>0.1</v>
      </c>
      <c r="K16">
        <v>18.93</v>
      </c>
      <c r="L16">
        <v>153.33000000000001</v>
      </c>
      <c r="M16" s="4" t="s">
        <v>25</v>
      </c>
    </row>
    <row r="17" spans="1:13" x14ac:dyDescent="0.3">
      <c r="A17" s="4" t="s">
        <v>1079</v>
      </c>
      <c r="B17" s="4" t="s">
        <v>1015</v>
      </c>
      <c r="C17" s="1">
        <v>45485</v>
      </c>
      <c r="D17" s="4" t="s">
        <v>1065</v>
      </c>
      <c r="E17" s="4" t="s">
        <v>1066</v>
      </c>
      <c r="F17">
        <v>14</v>
      </c>
      <c r="G17" s="4" t="s">
        <v>1052</v>
      </c>
      <c r="H17">
        <v>8</v>
      </c>
      <c r="I17">
        <v>7.92</v>
      </c>
      <c r="J17">
        <v>-0.08</v>
      </c>
      <c r="K17">
        <v>27.22</v>
      </c>
      <c r="L17">
        <v>215.58</v>
      </c>
      <c r="M17" s="4" t="s">
        <v>1071</v>
      </c>
    </row>
    <row r="18" spans="1:13" x14ac:dyDescent="0.3">
      <c r="A18" s="4" t="s">
        <v>1080</v>
      </c>
      <c r="B18" s="4" t="s">
        <v>422</v>
      </c>
      <c r="C18" s="1">
        <v>45635</v>
      </c>
      <c r="D18" s="4" t="s">
        <v>1069</v>
      </c>
      <c r="E18" s="4" t="s">
        <v>1055</v>
      </c>
      <c r="F18">
        <v>22</v>
      </c>
      <c r="G18" s="4" t="s">
        <v>1060</v>
      </c>
      <c r="H18">
        <v>8</v>
      </c>
      <c r="I18">
        <v>6.15</v>
      </c>
      <c r="J18">
        <v>-1.85</v>
      </c>
      <c r="K18">
        <v>20.2</v>
      </c>
      <c r="L18">
        <v>124.23</v>
      </c>
      <c r="M18" s="4" t="s">
        <v>152</v>
      </c>
    </row>
    <row r="19" spans="1:13" x14ac:dyDescent="0.3">
      <c r="A19" s="4" t="s">
        <v>1081</v>
      </c>
      <c r="B19" s="4" t="s">
        <v>380</v>
      </c>
      <c r="C19" s="1">
        <v>45612</v>
      </c>
      <c r="D19" s="4" t="s">
        <v>1062</v>
      </c>
      <c r="E19" s="4" t="s">
        <v>1055</v>
      </c>
      <c r="F19">
        <v>22</v>
      </c>
      <c r="G19" s="4" t="s">
        <v>1052</v>
      </c>
      <c r="H19">
        <v>8</v>
      </c>
      <c r="I19">
        <v>8.26</v>
      </c>
      <c r="J19">
        <v>0.26</v>
      </c>
      <c r="K19">
        <v>23.4</v>
      </c>
      <c r="L19">
        <v>193.28</v>
      </c>
      <c r="M19" s="4" t="s">
        <v>25</v>
      </c>
    </row>
    <row r="20" spans="1:13" x14ac:dyDescent="0.3">
      <c r="A20" s="4" t="s">
        <v>1082</v>
      </c>
      <c r="B20" s="4" t="s">
        <v>368</v>
      </c>
      <c r="C20" s="1">
        <v>45607</v>
      </c>
      <c r="D20" s="4" t="s">
        <v>1062</v>
      </c>
      <c r="E20" s="4" t="s">
        <v>1066</v>
      </c>
      <c r="F20">
        <v>14</v>
      </c>
      <c r="G20" s="4" t="s">
        <v>1052</v>
      </c>
      <c r="H20">
        <v>8</v>
      </c>
      <c r="I20">
        <v>7.94</v>
      </c>
      <c r="J20">
        <v>-0.06</v>
      </c>
      <c r="K20">
        <v>13.23</v>
      </c>
      <c r="L20">
        <v>105.05</v>
      </c>
      <c r="M20" s="4" t="s">
        <v>25</v>
      </c>
    </row>
    <row r="21" spans="1:13" x14ac:dyDescent="0.3">
      <c r="A21" s="4" t="s">
        <v>1083</v>
      </c>
      <c r="B21" s="4" t="s">
        <v>899</v>
      </c>
      <c r="C21" s="1">
        <v>45501</v>
      </c>
      <c r="D21" s="4" t="s">
        <v>1065</v>
      </c>
      <c r="E21" s="4" t="s">
        <v>1051</v>
      </c>
      <c r="F21">
        <v>8</v>
      </c>
      <c r="G21" s="4" t="s">
        <v>1052</v>
      </c>
      <c r="H21">
        <v>8</v>
      </c>
      <c r="I21">
        <v>8.32</v>
      </c>
      <c r="J21">
        <v>0.32</v>
      </c>
      <c r="K21">
        <v>25.34</v>
      </c>
      <c r="L21">
        <v>210.83</v>
      </c>
      <c r="M21" s="4" t="s">
        <v>152</v>
      </c>
    </row>
    <row r="22" spans="1:13" x14ac:dyDescent="0.3">
      <c r="A22" s="4" t="s">
        <v>1084</v>
      </c>
      <c r="B22" s="4" t="s">
        <v>781</v>
      </c>
      <c r="C22" s="1">
        <v>45533</v>
      </c>
      <c r="D22" s="4" t="s">
        <v>1054</v>
      </c>
      <c r="E22" s="4" t="s">
        <v>1055</v>
      </c>
      <c r="F22">
        <v>22</v>
      </c>
      <c r="G22" s="4" t="s">
        <v>1073</v>
      </c>
      <c r="H22">
        <v>8</v>
      </c>
      <c r="I22">
        <v>0</v>
      </c>
      <c r="J22">
        <v>-8</v>
      </c>
      <c r="K22">
        <v>17.46</v>
      </c>
      <c r="L22">
        <v>0</v>
      </c>
      <c r="M22" s="4" t="s">
        <v>25</v>
      </c>
    </row>
    <row r="23" spans="1:13" x14ac:dyDescent="0.3">
      <c r="A23" s="4" t="s">
        <v>1085</v>
      </c>
      <c r="B23" s="4" t="s">
        <v>681</v>
      </c>
      <c r="C23" s="1">
        <v>45530</v>
      </c>
      <c r="D23" s="4" t="s">
        <v>1054</v>
      </c>
      <c r="E23" s="4" t="s">
        <v>1058</v>
      </c>
      <c r="F23">
        <v>6</v>
      </c>
      <c r="G23" s="4" t="s">
        <v>1063</v>
      </c>
      <c r="H23">
        <v>8</v>
      </c>
      <c r="I23">
        <v>0</v>
      </c>
      <c r="J23">
        <v>-8</v>
      </c>
      <c r="K23">
        <v>18.5</v>
      </c>
      <c r="L23">
        <v>0</v>
      </c>
      <c r="M23" s="4" t="s">
        <v>1071</v>
      </c>
    </row>
    <row r="24" spans="1:13" x14ac:dyDescent="0.3">
      <c r="A24" s="4" t="s">
        <v>1086</v>
      </c>
      <c r="B24" s="4" t="s">
        <v>911</v>
      </c>
      <c r="C24" s="1">
        <v>45655</v>
      </c>
      <c r="D24" s="4" t="s">
        <v>1069</v>
      </c>
      <c r="E24" s="4" t="s">
        <v>1058</v>
      </c>
      <c r="F24">
        <v>6</v>
      </c>
      <c r="G24" s="4" t="s">
        <v>1052</v>
      </c>
      <c r="H24">
        <v>8</v>
      </c>
      <c r="I24">
        <v>7.91</v>
      </c>
      <c r="J24">
        <v>-0.09</v>
      </c>
      <c r="K24">
        <v>16.2</v>
      </c>
      <c r="L24">
        <v>128.13999999999999</v>
      </c>
      <c r="M24" s="4" t="s">
        <v>152</v>
      </c>
    </row>
    <row r="25" spans="1:13" x14ac:dyDescent="0.3">
      <c r="A25" s="4" t="s">
        <v>1087</v>
      </c>
      <c r="B25" s="4" t="s">
        <v>441</v>
      </c>
      <c r="C25" s="1">
        <v>45590</v>
      </c>
      <c r="D25" s="4" t="s">
        <v>1050</v>
      </c>
      <c r="E25" s="4" t="s">
        <v>1066</v>
      </c>
      <c r="F25">
        <v>14</v>
      </c>
      <c r="G25" s="4" t="s">
        <v>1060</v>
      </c>
      <c r="H25">
        <v>8</v>
      </c>
      <c r="I25">
        <v>5.58</v>
      </c>
      <c r="J25">
        <v>-2.42</v>
      </c>
      <c r="K25">
        <v>13.72</v>
      </c>
      <c r="L25">
        <v>76.56</v>
      </c>
      <c r="M25" s="4" t="s">
        <v>25</v>
      </c>
    </row>
    <row r="26" spans="1:13" x14ac:dyDescent="0.3">
      <c r="A26" s="4" t="s">
        <v>1088</v>
      </c>
      <c r="B26" s="4" t="s">
        <v>979</v>
      </c>
      <c r="C26" s="1">
        <v>45565</v>
      </c>
      <c r="D26" s="4" t="s">
        <v>1057</v>
      </c>
      <c r="E26" s="4" t="s">
        <v>1055</v>
      </c>
      <c r="F26">
        <v>22</v>
      </c>
      <c r="G26" s="4" t="s">
        <v>1052</v>
      </c>
      <c r="H26">
        <v>8</v>
      </c>
      <c r="I26">
        <v>8.0500000000000007</v>
      </c>
      <c r="J26">
        <v>0.05</v>
      </c>
      <c r="K26">
        <v>20.5</v>
      </c>
      <c r="L26">
        <v>165.02</v>
      </c>
      <c r="M26" s="4" t="s">
        <v>25</v>
      </c>
    </row>
    <row r="27" spans="1:13" x14ac:dyDescent="0.3">
      <c r="A27" s="4" t="s">
        <v>1089</v>
      </c>
      <c r="B27" s="4" t="s">
        <v>943</v>
      </c>
      <c r="C27" s="1">
        <v>45598</v>
      </c>
      <c r="D27" s="4" t="s">
        <v>1062</v>
      </c>
      <c r="E27" s="4" t="s">
        <v>1055</v>
      </c>
      <c r="F27">
        <v>22</v>
      </c>
      <c r="G27" s="4" t="s">
        <v>1052</v>
      </c>
      <c r="H27">
        <v>8</v>
      </c>
      <c r="I27">
        <v>8.07</v>
      </c>
      <c r="J27">
        <v>7.0000000000000007E-2</v>
      </c>
      <c r="K27">
        <v>13.05</v>
      </c>
      <c r="L27">
        <v>105.31</v>
      </c>
      <c r="M27" s="4" t="s">
        <v>25</v>
      </c>
    </row>
    <row r="28" spans="1:13" x14ac:dyDescent="0.3">
      <c r="A28" s="4" t="s">
        <v>1090</v>
      </c>
      <c r="B28" s="4" t="s">
        <v>40</v>
      </c>
      <c r="C28" s="1">
        <v>45551</v>
      </c>
      <c r="D28" s="4" t="s">
        <v>1057</v>
      </c>
      <c r="E28" s="4" t="s">
        <v>1066</v>
      </c>
      <c r="F28">
        <v>14</v>
      </c>
      <c r="G28" s="4" t="s">
        <v>1060</v>
      </c>
      <c r="H28">
        <v>8</v>
      </c>
      <c r="I28">
        <v>7.23</v>
      </c>
      <c r="J28">
        <v>-0.77</v>
      </c>
      <c r="K28">
        <v>24.24</v>
      </c>
      <c r="L28">
        <v>175.26</v>
      </c>
      <c r="M28" s="4" t="s">
        <v>152</v>
      </c>
    </row>
    <row r="29" spans="1:13" x14ac:dyDescent="0.3">
      <c r="A29" s="4" t="s">
        <v>1091</v>
      </c>
      <c r="B29" s="4" t="s">
        <v>772</v>
      </c>
      <c r="C29" s="1">
        <v>45557</v>
      </c>
      <c r="D29" s="4" t="s">
        <v>1057</v>
      </c>
      <c r="E29" s="4" t="s">
        <v>1058</v>
      </c>
      <c r="F29">
        <v>6</v>
      </c>
      <c r="G29" s="4" t="s">
        <v>1052</v>
      </c>
      <c r="H29">
        <v>8</v>
      </c>
      <c r="I29">
        <v>8.27</v>
      </c>
      <c r="J29">
        <v>0.27</v>
      </c>
      <c r="K29">
        <v>24.74</v>
      </c>
      <c r="L29">
        <v>204.6</v>
      </c>
      <c r="M29" s="4" t="s">
        <v>25</v>
      </c>
    </row>
    <row r="30" spans="1:13" x14ac:dyDescent="0.3">
      <c r="A30" s="4" t="s">
        <v>1092</v>
      </c>
      <c r="B30" s="4" t="s">
        <v>524</v>
      </c>
      <c r="C30" s="1">
        <v>45566</v>
      </c>
      <c r="D30" s="4" t="s">
        <v>1050</v>
      </c>
      <c r="E30" s="4" t="s">
        <v>1055</v>
      </c>
      <c r="F30">
        <v>22</v>
      </c>
      <c r="G30" s="4" t="s">
        <v>1063</v>
      </c>
      <c r="H30">
        <v>8</v>
      </c>
      <c r="I30">
        <v>0</v>
      </c>
      <c r="J30">
        <v>-8</v>
      </c>
      <c r="K30">
        <v>16.52</v>
      </c>
      <c r="L30">
        <v>0</v>
      </c>
      <c r="M30" s="4" t="s">
        <v>25</v>
      </c>
    </row>
    <row r="31" spans="1:13" x14ac:dyDescent="0.3">
      <c r="A31" s="4" t="s">
        <v>1093</v>
      </c>
      <c r="B31" s="4" t="s">
        <v>899</v>
      </c>
      <c r="C31" s="1">
        <v>45511</v>
      </c>
      <c r="D31" s="4" t="s">
        <v>1054</v>
      </c>
      <c r="E31" s="4" t="s">
        <v>1066</v>
      </c>
      <c r="F31">
        <v>14</v>
      </c>
      <c r="G31" s="4" t="s">
        <v>1052</v>
      </c>
      <c r="H31">
        <v>8</v>
      </c>
      <c r="I31">
        <v>8.24</v>
      </c>
      <c r="J31">
        <v>0.24</v>
      </c>
      <c r="K31">
        <v>27.64</v>
      </c>
      <c r="L31">
        <v>227.75</v>
      </c>
      <c r="M31" s="4" t="s">
        <v>152</v>
      </c>
    </row>
    <row r="32" spans="1:13" x14ac:dyDescent="0.3">
      <c r="A32" s="4" t="s">
        <v>1094</v>
      </c>
      <c r="B32" s="4" t="s">
        <v>712</v>
      </c>
      <c r="C32" s="1">
        <v>45544</v>
      </c>
      <c r="D32" s="4" t="s">
        <v>1057</v>
      </c>
      <c r="E32" s="4" t="s">
        <v>1051</v>
      </c>
      <c r="F32">
        <v>8</v>
      </c>
      <c r="G32" s="4" t="s">
        <v>1052</v>
      </c>
      <c r="H32">
        <v>8</v>
      </c>
      <c r="I32">
        <v>8.0399999999999991</v>
      </c>
      <c r="J32">
        <v>0.04</v>
      </c>
      <c r="K32">
        <v>21.55</v>
      </c>
      <c r="L32">
        <v>173.26</v>
      </c>
      <c r="M32" s="4" t="s">
        <v>25</v>
      </c>
    </row>
    <row r="33" spans="1:13" x14ac:dyDescent="0.3">
      <c r="A33" s="4" t="s">
        <v>1095</v>
      </c>
      <c r="B33" s="4" t="s">
        <v>528</v>
      </c>
      <c r="C33" s="1">
        <v>45497</v>
      </c>
      <c r="D33" s="4" t="s">
        <v>1065</v>
      </c>
      <c r="E33" s="4" t="s">
        <v>1051</v>
      </c>
      <c r="F33">
        <v>8</v>
      </c>
      <c r="G33" s="4" t="s">
        <v>1052</v>
      </c>
      <c r="H33">
        <v>8</v>
      </c>
      <c r="I33">
        <v>8.18</v>
      </c>
      <c r="J33">
        <v>0.18</v>
      </c>
      <c r="K33">
        <v>13.33</v>
      </c>
      <c r="L33">
        <v>109.04</v>
      </c>
      <c r="M33" s="4" t="s">
        <v>152</v>
      </c>
    </row>
    <row r="34" spans="1:13" x14ac:dyDescent="0.3">
      <c r="A34" s="4" t="s">
        <v>1096</v>
      </c>
      <c r="B34" s="4" t="s">
        <v>471</v>
      </c>
      <c r="C34" s="1">
        <v>45504</v>
      </c>
      <c r="D34" s="4" t="s">
        <v>1065</v>
      </c>
      <c r="E34" s="4" t="s">
        <v>1055</v>
      </c>
      <c r="F34">
        <v>22</v>
      </c>
      <c r="G34" s="4" t="s">
        <v>1052</v>
      </c>
      <c r="H34">
        <v>8</v>
      </c>
      <c r="I34">
        <v>8.0500000000000007</v>
      </c>
      <c r="J34">
        <v>0.05</v>
      </c>
      <c r="K34">
        <v>23.59</v>
      </c>
      <c r="L34">
        <v>189.9</v>
      </c>
      <c r="M34" s="4" t="s">
        <v>152</v>
      </c>
    </row>
    <row r="35" spans="1:13" x14ac:dyDescent="0.3">
      <c r="A35" s="4" t="s">
        <v>1097</v>
      </c>
      <c r="B35" s="4" t="s">
        <v>339</v>
      </c>
      <c r="C35" s="1">
        <v>45626</v>
      </c>
      <c r="D35" s="4" t="s">
        <v>1062</v>
      </c>
      <c r="E35" s="4" t="s">
        <v>1058</v>
      </c>
      <c r="F35">
        <v>6</v>
      </c>
      <c r="G35" s="4" t="s">
        <v>1052</v>
      </c>
      <c r="H35">
        <v>8</v>
      </c>
      <c r="I35">
        <v>7.93</v>
      </c>
      <c r="J35">
        <v>-7.0000000000000007E-2</v>
      </c>
      <c r="K35">
        <v>14.19</v>
      </c>
      <c r="L35">
        <v>112.53</v>
      </c>
      <c r="M35" s="4" t="s">
        <v>25</v>
      </c>
    </row>
    <row r="36" spans="1:13" x14ac:dyDescent="0.3">
      <c r="A36" s="4" t="s">
        <v>1098</v>
      </c>
      <c r="B36" s="4" t="s">
        <v>752</v>
      </c>
      <c r="C36" s="1">
        <v>45652</v>
      </c>
      <c r="D36" s="4" t="s">
        <v>1069</v>
      </c>
      <c r="E36" s="4" t="s">
        <v>1058</v>
      </c>
      <c r="F36">
        <v>6</v>
      </c>
      <c r="G36" s="4" t="s">
        <v>1052</v>
      </c>
      <c r="H36">
        <v>8</v>
      </c>
      <c r="I36">
        <v>8.0500000000000007</v>
      </c>
      <c r="J36">
        <v>0.05</v>
      </c>
      <c r="K36">
        <v>15.09</v>
      </c>
      <c r="L36">
        <v>121.47</v>
      </c>
      <c r="M36" s="4" t="s">
        <v>25</v>
      </c>
    </row>
    <row r="37" spans="1:13" x14ac:dyDescent="0.3">
      <c r="A37" s="4" t="s">
        <v>1099</v>
      </c>
      <c r="B37" s="4" t="s">
        <v>588</v>
      </c>
      <c r="C37" s="1">
        <v>45600</v>
      </c>
      <c r="D37" s="4" t="s">
        <v>1062</v>
      </c>
      <c r="E37" s="4" t="s">
        <v>1055</v>
      </c>
      <c r="F37">
        <v>22</v>
      </c>
      <c r="G37" s="4" t="s">
        <v>1073</v>
      </c>
      <c r="H37">
        <v>8</v>
      </c>
      <c r="I37">
        <v>0</v>
      </c>
      <c r="J37">
        <v>-8</v>
      </c>
      <c r="K37">
        <v>21.46</v>
      </c>
      <c r="L37">
        <v>0</v>
      </c>
      <c r="M37" s="4" t="s">
        <v>1071</v>
      </c>
    </row>
    <row r="38" spans="1:13" x14ac:dyDescent="0.3">
      <c r="A38" s="4" t="s">
        <v>1100</v>
      </c>
      <c r="B38" s="4" t="s">
        <v>83</v>
      </c>
      <c r="C38" s="1">
        <v>45489</v>
      </c>
      <c r="D38" s="4" t="s">
        <v>1065</v>
      </c>
      <c r="E38" s="4" t="s">
        <v>1058</v>
      </c>
      <c r="F38">
        <v>6</v>
      </c>
      <c r="G38" s="4" t="s">
        <v>1063</v>
      </c>
      <c r="H38">
        <v>8</v>
      </c>
      <c r="I38">
        <v>0</v>
      </c>
      <c r="J38">
        <v>-8</v>
      </c>
      <c r="K38">
        <v>18.68</v>
      </c>
      <c r="L38">
        <v>0</v>
      </c>
      <c r="M38" s="4" t="s">
        <v>152</v>
      </c>
    </row>
    <row r="39" spans="1:13" x14ac:dyDescent="0.3">
      <c r="A39" s="4" t="s">
        <v>1101</v>
      </c>
      <c r="B39" s="4" t="s">
        <v>274</v>
      </c>
      <c r="C39" s="1">
        <v>45507</v>
      </c>
      <c r="D39" s="4" t="s">
        <v>1054</v>
      </c>
      <c r="E39" s="4" t="s">
        <v>1066</v>
      </c>
      <c r="F39">
        <v>14</v>
      </c>
      <c r="G39" s="4" t="s">
        <v>1052</v>
      </c>
      <c r="H39">
        <v>8</v>
      </c>
      <c r="I39">
        <v>8.09</v>
      </c>
      <c r="J39">
        <v>0.09</v>
      </c>
      <c r="K39">
        <v>19.66</v>
      </c>
      <c r="L39">
        <v>159.05000000000001</v>
      </c>
      <c r="M39" s="4" t="s">
        <v>1071</v>
      </c>
    </row>
    <row r="40" spans="1:13" x14ac:dyDescent="0.3">
      <c r="A40" s="4" t="s">
        <v>1102</v>
      </c>
      <c r="B40" s="4" t="s">
        <v>536</v>
      </c>
      <c r="C40" s="1">
        <v>45520</v>
      </c>
      <c r="D40" s="4" t="s">
        <v>1054</v>
      </c>
      <c r="E40" s="4" t="s">
        <v>1051</v>
      </c>
      <c r="F40">
        <v>8</v>
      </c>
      <c r="G40" s="4" t="s">
        <v>1073</v>
      </c>
      <c r="H40">
        <v>8</v>
      </c>
      <c r="I40">
        <v>0</v>
      </c>
      <c r="J40">
        <v>-8</v>
      </c>
      <c r="K40">
        <v>15.89</v>
      </c>
      <c r="L40">
        <v>0</v>
      </c>
      <c r="M40" s="4" t="s">
        <v>152</v>
      </c>
    </row>
    <row r="41" spans="1:13" x14ac:dyDescent="0.3">
      <c r="A41" s="4" t="s">
        <v>1103</v>
      </c>
      <c r="B41" s="4" t="s">
        <v>40</v>
      </c>
      <c r="C41" s="1">
        <v>45525</v>
      </c>
      <c r="D41" s="4" t="s">
        <v>1054</v>
      </c>
      <c r="E41" s="4" t="s">
        <v>1058</v>
      </c>
      <c r="F41">
        <v>6</v>
      </c>
      <c r="G41" s="4" t="s">
        <v>1052</v>
      </c>
      <c r="H41">
        <v>8</v>
      </c>
      <c r="I41">
        <v>8.32</v>
      </c>
      <c r="J41">
        <v>0.32</v>
      </c>
      <c r="K41">
        <v>15.52</v>
      </c>
      <c r="L41">
        <v>129.13</v>
      </c>
      <c r="M41" s="4" t="s">
        <v>25</v>
      </c>
    </row>
    <row r="42" spans="1:13" x14ac:dyDescent="0.3">
      <c r="A42" s="4" t="s">
        <v>1104</v>
      </c>
      <c r="B42" s="4" t="s">
        <v>693</v>
      </c>
      <c r="C42" s="1">
        <v>45582</v>
      </c>
      <c r="D42" s="4" t="s">
        <v>1050</v>
      </c>
      <c r="E42" s="4" t="s">
        <v>1051</v>
      </c>
      <c r="F42">
        <v>8</v>
      </c>
      <c r="G42" s="4" t="s">
        <v>1052</v>
      </c>
      <c r="H42">
        <v>8</v>
      </c>
      <c r="I42">
        <v>8.32</v>
      </c>
      <c r="J42">
        <v>0.32</v>
      </c>
      <c r="K42">
        <v>24.44</v>
      </c>
      <c r="L42">
        <v>203.34</v>
      </c>
      <c r="M42" s="4" t="s">
        <v>152</v>
      </c>
    </row>
    <row r="43" spans="1:13" x14ac:dyDescent="0.3">
      <c r="A43" s="4" t="s">
        <v>1105</v>
      </c>
      <c r="B43" s="4" t="s">
        <v>764</v>
      </c>
      <c r="C43" s="1">
        <v>45557</v>
      </c>
      <c r="D43" s="4" t="s">
        <v>1057</v>
      </c>
      <c r="E43" s="4" t="s">
        <v>1051</v>
      </c>
      <c r="F43">
        <v>8</v>
      </c>
      <c r="G43" s="4" t="s">
        <v>1073</v>
      </c>
      <c r="H43">
        <v>8</v>
      </c>
      <c r="I43">
        <v>0</v>
      </c>
      <c r="J43">
        <v>-8</v>
      </c>
      <c r="K43">
        <v>25</v>
      </c>
      <c r="L43">
        <v>0</v>
      </c>
      <c r="M43" s="4" t="s">
        <v>152</v>
      </c>
    </row>
    <row r="44" spans="1:13" x14ac:dyDescent="0.3">
      <c r="A44" s="4" t="s">
        <v>1106</v>
      </c>
      <c r="B44" s="4" t="s">
        <v>720</v>
      </c>
      <c r="C44" s="1">
        <v>45586</v>
      </c>
      <c r="D44" s="4" t="s">
        <v>1050</v>
      </c>
      <c r="E44" s="4" t="s">
        <v>1055</v>
      </c>
      <c r="F44">
        <v>22</v>
      </c>
      <c r="G44" s="4" t="s">
        <v>1052</v>
      </c>
      <c r="H44">
        <v>8</v>
      </c>
      <c r="I44">
        <v>8.31</v>
      </c>
      <c r="J44">
        <v>0.31</v>
      </c>
      <c r="K44">
        <v>13.79</v>
      </c>
      <c r="L44">
        <v>114.59</v>
      </c>
      <c r="M44" s="4" t="s">
        <v>25</v>
      </c>
    </row>
    <row r="45" spans="1:13" x14ac:dyDescent="0.3">
      <c r="A45" s="4" t="s">
        <v>1107</v>
      </c>
      <c r="B45" s="4" t="s">
        <v>239</v>
      </c>
      <c r="C45" s="1">
        <v>45500</v>
      </c>
      <c r="D45" s="4" t="s">
        <v>1065</v>
      </c>
      <c r="E45" s="4" t="s">
        <v>1051</v>
      </c>
      <c r="F45">
        <v>8</v>
      </c>
      <c r="G45" s="4" t="s">
        <v>1060</v>
      </c>
      <c r="H45">
        <v>8</v>
      </c>
      <c r="I45">
        <v>6.96</v>
      </c>
      <c r="J45">
        <v>-1.04</v>
      </c>
      <c r="K45">
        <v>13.79</v>
      </c>
      <c r="L45">
        <v>95.98</v>
      </c>
      <c r="M45" s="4" t="s">
        <v>25</v>
      </c>
    </row>
    <row r="46" spans="1:13" x14ac:dyDescent="0.3">
      <c r="A46" s="4" t="s">
        <v>1108</v>
      </c>
      <c r="B46" s="4" t="s">
        <v>339</v>
      </c>
      <c r="C46" s="1">
        <v>45586</v>
      </c>
      <c r="D46" s="4" t="s">
        <v>1050</v>
      </c>
      <c r="E46" s="4" t="s">
        <v>1058</v>
      </c>
      <c r="F46">
        <v>6</v>
      </c>
      <c r="G46" s="4" t="s">
        <v>1063</v>
      </c>
      <c r="H46">
        <v>8</v>
      </c>
      <c r="I46">
        <v>0</v>
      </c>
      <c r="J46">
        <v>-8</v>
      </c>
      <c r="K46">
        <v>23.22</v>
      </c>
      <c r="L46">
        <v>0</v>
      </c>
      <c r="M46" s="4" t="s">
        <v>25</v>
      </c>
    </row>
    <row r="47" spans="1:13" x14ac:dyDescent="0.3">
      <c r="A47" s="4" t="s">
        <v>1109</v>
      </c>
      <c r="B47" s="4" t="s">
        <v>697</v>
      </c>
      <c r="C47" s="1">
        <v>45571</v>
      </c>
      <c r="D47" s="4" t="s">
        <v>1050</v>
      </c>
      <c r="E47" s="4" t="s">
        <v>1066</v>
      </c>
      <c r="F47">
        <v>14</v>
      </c>
      <c r="G47" s="4" t="s">
        <v>1060</v>
      </c>
      <c r="H47">
        <v>8</v>
      </c>
      <c r="I47">
        <v>6.88</v>
      </c>
      <c r="J47">
        <v>-1.1200000000000001</v>
      </c>
      <c r="K47">
        <v>18.61</v>
      </c>
      <c r="L47">
        <v>128.04</v>
      </c>
      <c r="M47" s="4" t="s">
        <v>25</v>
      </c>
    </row>
    <row r="48" spans="1:13" x14ac:dyDescent="0.3">
      <c r="A48" s="4" t="s">
        <v>1110</v>
      </c>
      <c r="B48" s="4" t="s">
        <v>979</v>
      </c>
      <c r="C48" s="1">
        <v>45644</v>
      </c>
      <c r="D48" s="4" t="s">
        <v>1069</v>
      </c>
      <c r="E48" s="4" t="s">
        <v>1066</v>
      </c>
      <c r="F48">
        <v>14</v>
      </c>
      <c r="G48" s="4" t="s">
        <v>1063</v>
      </c>
      <c r="H48">
        <v>8</v>
      </c>
      <c r="I48">
        <v>0</v>
      </c>
      <c r="J48">
        <v>-8</v>
      </c>
      <c r="K48">
        <v>20.010000000000002</v>
      </c>
      <c r="L48">
        <v>0</v>
      </c>
      <c r="M48" s="4" t="s">
        <v>25</v>
      </c>
    </row>
    <row r="49" spans="1:13" x14ac:dyDescent="0.3">
      <c r="A49" s="4" t="s">
        <v>1111</v>
      </c>
      <c r="B49" s="4" t="s">
        <v>427</v>
      </c>
      <c r="C49" s="1">
        <v>45655</v>
      </c>
      <c r="D49" s="4" t="s">
        <v>1069</v>
      </c>
      <c r="E49" s="4" t="s">
        <v>1051</v>
      </c>
      <c r="F49">
        <v>8</v>
      </c>
      <c r="G49" s="4" t="s">
        <v>1052</v>
      </c>
      <c r="H49">
        <v>8</v>
      </c>
      <c r="I49">
        <v>8.48</v>
      </c>
      <c r="J49">
        <v>0.48</v>
      </c>
      <c r="K49">
        <v>24</v>
      </c>
      <c r="L49">
        <v>203.52</v>
      </c>
      <c r="M49" s="4" t="s">
        <v>25</v>
      </c>
    </row>
    <row r="50" spans="1:13" x14ac:dyDescent="0.3">
      <c r="A50" s="4" t="s">
        <v>1112</v>
      </c>
      <c r="B50" s="4" t="s">
        <v>90</v>
      </c>
      <c r="C50" s="1">
        <v>45541</v>
      </c>
      <c r="D50" s="4" t="s">
        <v>1057</v>
      </c>
      <c r="E50" s="4" t="s">
        <v>1066</v>
      </c>
      <c r="F50">
        <v>14</v>
      </c>
      <c r="G50" s="4" t="s">
        <v>1052</v>
      </c>
      <c r="H50">
        <v>8</v>
      </c>
      <c r="I50">
        <v>8.33</v>
      </c>
      <c r="J50">
        <v>0.33</v>
      </c>
      <c r="K50">
        <v>18.77</v>
      </c>
      <c r="L50">
        <v>156.35</v>
      </c>
      <c r="M50" s="4" t="s">
        <v>152</v>
      </c>
    </row>
    <row r="51" spans="1:13" x14ac:dyDescent="0.3">
      <c r="A51" s="4" t="s">
        <v>1113</v>
      </c>
      <c r="B51" s="4" t="s">
        <v>306</v>
      </c>
      <c r="C51" s="1">
        <v>45518</v>
      </c>
      <c r="D51" s="4" t="s">
        <v>1054</v>
      </c>
      <c r="E51" s="4" t="s">
        <v>1058</v>
      </c>
      <c r="F51">
        <v>6</v>
      </c>
      <c r="G51" s="4" t="s">
        <v>1052</v>
      </c>
      <c r="H51">
        <v>8</v>
      </c>
      <c r="I51">
        <v>7.84</v>
      </c>
      <c r="J51">
        <v>-0.16</v>
      </c>
      <c r="K51">
        <v>13.98</v>
      </c>
      <c r="L51">
        <v>109.6</v>
      </c>
      <c r="M51" s="4" t="s">
        <v>25</v>
      </c>
    </row>
    <row r="52" spans="1:13" x14ac:dyDescent="0.3">
      <c r="A52" s="4" t="s">
        <v>1114</v>
      </c>
      <c r="B52" s="4" t="s">
        <v>409</v>
      </c>
      <c r="C52" s="1">
        <v>45575</v>
      </c>
      <c r="D52" s="4" t="s">
        <v>1050</v>
      </c>
      <c r="E52" s="4" t="s">
        <v>1051</v>
      </c>
      <c r="F52">
        <v>8</v>
      </c>
      <c r="G52" s="4" t="s">
        <v>1052</v>
      </c>
      <c r="H52">
        <v>8</v>
      </c>
      <c r="I52">
        <v>7.88</v>
      </c>
      <c r="J52">
        <v>-0.12</v>
      </c>
      <c r="K52">
        <v>17.43</v>
      </c>
      <c r="L52">
        <v>137.35</v>
      </c>
      <c r="M52" s="4" t="s">
        <v>25</v>
      </c>
    </row>
    <row r="53" spans="1:13" x14ac:dyDescent="0.3">
      <c r="A53" s="4" t="s">
        <v>1115</v>
      </c>
      <c r="B53" s="4" t="s">
        <v>785</v>
      </c>
      <c r="C53" s="1">
        <v>45482</v>
      </c>
      <c r="D53" s="4" t="s">
        <v>1065</v>
      </c>
      <c r="E53" s="4" t="s">
        <v>1051</v>
      </c>
      <c r="F53">
        <v>8</v>
      </c>
      <c r="G53" s="4" t="s">
        <v>1052</v>
      </c>
      <c r="H53">
        <v>8</v>
      </c>
      <c r="I53">
        <v>7.87</v>
      </c>
      <c r="J53">
        <v>-0.13</v>
      </c>
      <c r="K53">
        <v>13.26</v>
      </c>
      <c r="L53">
        <v>104.36</v>
      </c>
      <c r="M53" s="4" t="s">
        <v>152</v>
      </c>
    </row>
    <row r="54" spans="1:13" x14ac:dyDescent="0.3">
      <c r="A54" s="4" t="s">
        <v>1116</v>
      </c>
      <c r="B54" s="4" t="s">
        <v>987</v>
      </c>
      <c r="C54" s="1">
        <v>45643</v>
      </c>
      <c r="D54" s="4" t="s">
        <v>1069</v>
      </c>
      <c r="E54" s="4" t="s">
        <v>1058</v>
      </c>
      <c r="F54">
        <v>6</v>
      </c>
      <c r="G54" s="4" t="s">
        <v>1063</v>
      </c>
      <c r="H54">
        <v>8</v>
      </c>
      <c r="I54">
        <v>0</v>
      </c>
      <c r="J54">
        <v>-8</v>
      </c>
      <c r="K54">
        <v>12.7</v>
      </c>
      <c r="L54">
        <v>0</v>
      </c>
      <c r="M54" s="4" t="s">
        <v>152</v>
      </c>
    </row>
    <row r="55" spans="1:13" x14ac:dyDescent="0.3">
      <c r="A55" s="4" t="s">
        <v>1117</v>
      </c>
      <c r="B55" s="4" t="s">
        <v>1015</v>
      </c>
      <c r="C55" s="1">
        <v>45546</v>
      </c>
      <c r="D55" s="4" t="s">
        <v>1057</v>
      </c>
      <c r="E55" s="4" t="s">
        <v>1055</v>
      </c>
      <c r="F55">
        <v>22</v>
      </c>
      <c r="G55" s="4" t="s">
        <v>1052</v>
      </c>
      <c r="H55">
        <v>8</v>
      </c>
      <c r="I55">
        <v>7.89</v>
      </c>
      <c r="J55">
        <v>-0.11</v>
      </c>
      <c r="K55">
        <v>23.18</v>
      </c>
      <c r="L55">
        <v>182.89</v>
      </c>
      <c r="M55" s="4" t="s">
        <v>25</v>
      </c>
    </row>
    <row r="56" spans="1:13" x14ac:dyDescent="0.3">
      <c r="A56" s="4" t="s">
        <v>1118</v>
      </c>
      <c r="B56" s="4" t="s">
        <v>640</v>
      </c>
      <c r="C56" s="1">
        <v>45520</v>
      </c>
      <c r="D56" s="4" t="s">
        <v>1054</v>
      </c>
      <c r="E56" s="4" t="s">
        <v>1055</v>
      </c>
      <c r="F56">
        <v>22</v>
      </c>
      <c r="G56" s="4" t="s">
        <v>1052</v>
      </c>
      <c r="H56">
        <v>8</v>
      </c>
      <c r="I56">
        <v>8.1199999999999992</v>
      </c>
      <c r="J56">
        <v>0.12</v>
      </c>
      <c r="K56">
        <v>20.010000000000002</v>
      </c>
      <c r="L56">
        <v>162.47999999999999</v>
      </c>
      <c r="M56" s="4" t="s">
        <v>152</v>
      </c>
    </row>
    <row r="57" spans="1:13" x14ac:dyDescent="0.3">
      <c r="A57" s="4" t="s">
        <v>1119</v>
      </c>
      <c r="B57" s="4" t="s">
        <v>813</v>
      </c>
      <c r="C57" s="1">
        <v>45641</v>
      </c>
      <c r="D57" s="4" t="s">
        <v>1069</v>
      </c>
      <c r="E57" s="4" t="s">
        <v>1066</v>
      </c>
      <c r="F57">
        <v>14</v>
      </c>
      <c r="G57" s="4" t="s">
        <v>1052</v>
      </c>
      <c r="H57">
        <v>8</v>
      </c>
      <c r="I57">
        <v>7.87</v>
      </c>
      <c r="J57">
        <v>-0.13</v>
      </c>
      <c r="K57">
        <v>19.98</v>
      </c>
      <c r="L57">
        <v>157.24</v>
      </c>
      <c r="M57" s="4" t="s">
        <v>25</v>
      </c>
    </row>
    <row r="58" spans="1:13" x14ac:dyDescent="0.3">
      <c r="A58" s="4" t="s">
        <v>1120</v>
      </c>
      <c r="B58" s="4" t="s">
        <v>708</v>
      </c>
      <c r="C58" s="1">
        <v>45611</v>
      </c>
      <c r="D58" s="4" t="s">
        <v>1062</v>
      </c>
      <c r="E58" s="4" t="s">
        <v>1051</v>
      </c>
      <c r="F58">
        <v>8</v>
      </c>
      <c r="G58" s="4" t="s">
        <v>1052</v>
      </c>
      <c r="H58">
        <v>8</v>
      </c>
      <c r="I58">
        <v>8.2100000000000009</v>
      </c>
      <c r="J58">
        <v>0.21</v>
      </c>
      <c r="K58">
        <v>16.11</v>
      </c>
      <c r="L58">
        <v>132.26</v>
      </c>
      <c r="M58" s="4" t="s">
        <v>1071</v>
      </c>
    </row>
    <row r="59" spans="1:13" x14ac:dyDescent="0.3">
      <c r="A59" s="4" t="s">
        <v>1121</v>
      </c>
      <c r="B59" s="4" t="s">
        <v>350</v>
      </c>
      <c r="C59" s="1">
        <v>45517</v>
      </c>
      <c r="D59" s="4" t="s">
        <v>1054</v>
      </c>
      <c r="E59" s="4" t="s">
        <v>1051</v>
      </c>
      <c r="F59">
        <v>8</v>
      </c>
      <c r="G59" s="4" t="s">
        <v>1073</v>
      </c>
      <c r="H59">
        <v>8</v>
      </c>
      <c r="I59">
        <v>0</v>
      </c>
      <c r="J59">
        <v>-8</v>
      </c>
      <c r="K59">
        <v>16.149999999999999</v>
      </c>
      <c r="L59">
        <v>0</v>
      </c>
      <c r="M59" s="4" t="s">
        <v>152</v>
      </c>
    </row>
    <row r="60" spans="1:13" x14ac:dyDescent="0.3">
      <c r="A60" s="4" t="s">
        <v>1122</v>
      </c>
      <c r="B60" s="4" t="s">
        <v>114</v>
      </c>
      <c r="C60" s="1">
        <v>45613</v>
      </c>
      <c r="D60" s="4" t="s">
        <v>1062</v>
      </c>
      <c r="E60" s="4" t="s">
        <v>1066</v>
      </c>
      <c r="F60">
        <v>14</v>
      </c>
      <c r="G60" s="4" t="s">
        <v>1052</v>
      </c>
      <c r="H60">
        <v>8</v>
      </c>
      <c r="I60">
        <v>7.77</v>
      </c>
      <c r="J60">
        <v>-0.23</v>
      </c>
      <c r="K60">
        <v>13.85</v>
      </c>
      <c r="L60">
        <v>107.61</v>
      </c>
      <c r="M60" s="4" t="s">
        <v>152</v>
      </c>
    </row>
    <row r="61" spans="1:13" x14ac:dyDescent="0.3">
      <c r="A61" s="4" t="s">
        <v>1123</v>
      </c>
      <c r="B61" s="4" t="s">
        <v>728</v>
      </c>
      <c r="C61" s="1">
        <v>45646</v>
      </c>
      <c r="D61" s="4" t="s">
        <v>1069</v>
      </c>
      <c r="E61" s="4" t="s">
        <v>1055</v>
      </c>
      <c r="F61">
        <v>22</v>
      </c>
      <c r="G61" s="4" t="s">
        <v>1063</v>
      </c>
      <c r="H61">
        <v>8</v>
      </c>
      <c r="I61">
        <v>0</v>
      </c>
      <c r="J61">
        <v>-8</v>
      </c>
      <c r="K61">
        <v>10.73</v>
      </c>
      <c r="L61">
        <v>0</v>
      </c>
      <c r="M61" s="4" t="s">
        <v>152</v>
      </c>
    </row>
    <row r="62" spans="1:13" x14ac:dyDescent="0.3">
      <c r="A62" s="4" t="s">
        <v>1124</v>
      </c>
      <c r="B62" s="4" t="s">
        <v>178</v>
      </c>
      <c r="C62" s="1">
        <v>45495</v>
      </c>
      <c r="D62" s="4" t="s">
        <v>1065</v>
      </c>
      <c r="E62" s="4" t="s">
        <v>1051</v>
      </c>
      <c r="F62">
        <v>8</v>
      </c>
      <c r="G62" s="4" t="s">
        <v>1052</v>
      </c>
      <c r="H62">
        <v>8</v>
      </c>
      <c r="I62">
        <v>8.02</v>
      </c>
      <c r="J62">
        <v>0.02</v>
      </c>
      <c r="K62">
        <v>24.4</v>
      </c>
      <c r="L62">
        <v>195.69</v>
      </c>
      <c r="M62" s="4" t="s">
        <v>152</v>
      </c>
    </row>
    <row r="63" spans="1:13" x14ac:dyDescent="0.3">
      <c r="A63" s="4" t="s">
        <v>1125</v>
      </c>
      <c r="B63" s="4" t="s">
        <v>955</v>
      </c>
      <c r="C63" s="1">
        <v>45581</v>
      </c>
      <c r="D63" s="4" t="s">
        <v>1050</v>
      </c>
      <c r="E63" s="4" t="s">
        <v>1058</v>
      </c>
      <c r="F63">
        <v>6</v>
      </c>
      <c r="G63" s="4" t="s">
        <v>1052</v>
      </c>
      <c r="H63">
        <v>8</v>
      </c>
      <c r="I63">
        <v>8.4600000000000009</v>
      </c>
      <c r="J63">
        <v>0.46</v>
      </c>
      <c r="K63">
        <v>12.27</v>
      </c>
      <c r="L63">
        <v>103.8</v>
      </c>
      <c r="M63" s="4" t="s">
        <v>1071</v>
      </c>
    </row>
    <row r="64" spans="1:13" x14ac:dyDescent="0.3">
      <c r="A64" s="4" t="s">
        <v>1126</v>
      </c>
      <c r="B64" s="4" t="s">
        <v>354</v>
      </c>
      <c r="C64" s="1">
        <v>45513</v>
      </c>
      <c r="D64" s="4" t="s">
        <v>1054</v>
      </c>
      <c r="E64" s="4" t="s">
        <v>1066</v>
      </c>
      <c r="F64">
        <v>14</v>
      </c>
      <c r="G64" s="4" t="s">
        <v>1052</v>
      </c>
      <c r="H64">
        <v>8</v>
      </c>
      <c r="I64">
        <v>8.4600000000000009</v>
      </c>
      <c r="J64">
        <v>0.46</v>
      </c>
      <c r="K64">
        <v>23.56</v>
      </c>
      <c r="L64">
        <v>199.32</v>
      </c>
      <c r="M64" s="4" t="s">
        <v>152</v>
      </c>
    </row>
    <row r="65" spans="1:13" x14ac:dyDescent="0.3">
      <c r="A65" s="4" t="s">
        <v>1127</v>
      </c>
      <c r="B65" s="4" t="s">
        <v>923</v>
      </c>
      <c r="C65" s="1">
        <v>45632</v>
      </c>
      <c r="D65" s="4" t="s">
        <v>1069</v>
      </c>
      <c r="E65" s="4" t="s">
        <v>1051</v>
      </c>
      <c r="F65">
        <v>8</v>
      </c>
      <c r="G65" s="4" t="s">
        <v>1073</v>
      </c>
      <c r="H65">
        <v>8</v>
      </c>
      <c r="I65">
        <v>0</v>
      </c>
      <c r="J65">
        <v>-8</v>
      </c>
      <c r="K65">
        <v>19.329999999999998</v>
      </c>
      <c r="L65">
        <v>0</v>
      </c>
      <c r="M65" s="4" t="s">
        <v>25</v>
      </c>
    </row>
    <row r="66" spans="1:13" x14ac:dyDescent="0.3">
      <c r="A66" s="4" t="s">
        <v>1128</v>
      </c>
      <c r="B66" s="4" t="s">
        <v>813</v>
      </c>
      <c r="C66" s="1">
        <v>45568</v>
      </c>
      <c r="D66" s="4" t="s">
        <v>1050</v>
      </c>
      <c r="E66" s="4" t="s">
        <v>1051</v>
      </c>
      <c r="F66">
        <v>8</v>
      </c>
      <c r="G66" s="4" t="s">
        <v>1063</v>
      </c>
      <c r="H66">
        <v>8</v>
      </c>
      <c r="I66">
        <v>0</v>
      </c>
      <c r="J66">
        <v>-8</v>
      </c>
      <c r="K66">
        <v>25.28</v>
      </c>
      <c r="L66">
        <v>0</v>
      </c>
      <c r="M66" s="4" t="s">
        <v>152</v>
      </c>
    </row>
    <row r="67" spans="1:13" x14ac:dyDescent="0.3">
      <c r="A67" s="4" t="s">
        <v>1129</v>
      </c>
      <c r="B67" s="4" t="s">
        <v>511</v>
      </c>
      <c r="C67" s="1">
        <v>45514</v>
      </c>
      <c r="D67" s="4" t="s">
        <v>1054</v>
      </c>
      <c r="E67" s="4" t="s">
        <v>1066</v>
      </c>
      <c r="F67">
        <v>14</v>
      </c>
      <c r="G67" s="4" t="s">
        <v>1052</v>
      </c>
      <c r="H67">
        <v>8</v>
      </c>
      <c r="I67">
        <v>7.91</v>
      </c>
      <c r="J67">
        <v>-0.09</v>
      </c>
      <c r="K67">
        <v>16.8</v>
      </c>
      <c r="L67">
        <v>132.88999999999999</v>
      </c>
      <c r="M67" s="4" t="s">
        <v>152</v>
      </c>
    </row>
    <row r="68" spans="1:13" x14ac:dyDescent="0.3">
      <c r="A68" s="4" t="s">
        <v>1130</v>
      </c>
      <c r="B68" s="4" t="s">
        <v>17</v>
      </c>
      <c r="C68" s="1">
        <v>45586</v>
      </c>
      <c r="D68" s="4" t="s">
        <v>1050</v>
      </c>
      <c r="E68" s="4" t="s">
        <v>1058</v>
      </c>
      <c r="F68">
        <v>6</v>
      </c>
      <c r="G68" s="4" t="s">
        <v>1052</v>
      </c>
      <c r="H68">
        <v>8</v>
      </c>
      <c r="I68">
        <v>7.76</v>
      </c>
      <c r="J68">
        <v>-0.24</v>
      </c>
      <c r="K68">
        <v>10.61</v>
      </c>
      <c r="L68">
        <v>82.33</v>
      </c>
      <c r="M68" s="4" t="s">
        <v>25</v>
      </c>
    </row>
    <row r="69" spans="1:13" x14ac:dyDescent="0.3">
      <c r="A69" s="4" t="s">
        <v>1131</v>
      </c>
      <c r="B69" s="4" t="s">
        <v>69</v>
      </c>
      <c r="C69" s="1">
        <v>45517</v>
      </c>
      <c r="D69" s="4" t="s">
        <v>1054</v>
      </c>
      <c r="E69" s="4" t="s">
        <v>1055</v>
      </c>
      <c r="F69">
        <v>22</v>
      </c>
      <c r="G69" s="4" t="s">
        <v>1052</v>
      </c>
      <c r="H69">
        <v>8</v>
      </c>
      <c r="I69">
        <v>8.17</v>
      </c>
      <c r="J69">
        <v>0.17</v>
      </c>
      <c r="K69">
        <v>12.15</v>
      </c>
      <c r="L69">
        <v>99.27</v>
      </c>
      <c r="M69" s="4" t="s">
        <v>152</v>
      </c>
    </row>
    <row r="70" spans="1:13" x14ac:dyDescent="0.3">
      <c r="A70" s="4" t="s">
        <v>1132</v>
      </c>
      <c r="B70" s="4" t="s">
        <v>441</v>
      </c>
      <c r="C70" s="1">
        <v>45509</v>
      </c>
      <c r="D70" s="4" t="s">
        <v>1054</v>
      </c>
      <c r="E70" s="4" t="s">
        <v>1055</v>
      </c>
      <c r="F70">
        <v>22</v>
      </c>
      <c r="G70" s="4" t="s">
        <v>1073</v>
      </c>
      <c r="H70">
        <v>8</v>
      </c>
      <c r="I70">
        <v>0</v>
      </c>
      <c r="J70">
        <v>-8</v>
      </c>
      <c r="K70">
        <v>24.69</v>
      </c>
      <c r="L70">
        <v>0</v>
      </c>
      <c r="M70" s="4" t="s">
        <v>152</v>
      </c>
    </row>
    <row r="71" spans="1:13" x14ac:dyDescent="0.3">
      <c r="A71" s="4" t="s">
        <v>1133</v>
      </c>
      <c r="B71" s="4" t="s">
        <v>380</v>
      </c>
      <c r="C71" s="1">
        <v>45575</v>
      </c>
      <c r="D71" s="4" t="s">
        <v>1050</v>
      </c>
      <c r="E71" s="4" t="s">
        <v>1058</v>
      </c>
      <c r="F71">
        <v>6</v>
      </c>
      <c r="G71" s="4" t="s">
        <v>1052</v>
      </c>
      <c r="H71">
        <v>8</v>
      </c>
      <c r="I71">
        <v>8.11</v>
      </c>
      <c r="J71">
        <v>0.11</v>
      </c>
      <c r="K71">
        <v>20.92</v>
      </c>
      <c r="L71">
        <v>169.66</v>
      </c>
      <c r="M71" s="4" t="s">
        <v>25</v>
      </c>
    </row>
    <row r="72" spans="1:13" x14ac:dyDescent="0.3">
      <c r="A72" s="4" t="s">
        <v>1134</v>
      </c>
      <c r="B72" s="4" t="s">
        <v>781</v>
      </c>
      <c r="C72" s="1">
        <v>45638</v>
      </c>
      <c r="D72" s="4" t="s">
        <v>1069</v>
      </c>
      <c r="E72" s="4" t="s">
        <v>1051</v>
      </c>
      <c r="F72">
        <v>8</v>
      </c>
      <c r="G72" s="4" t="s">
        <v>1052</v>
      </c>
      <c r="H72">
        <v>8</v>
      </c>
      <c r="I72">
        <v>7.79</v>
      </c>
      <c r="J72">
        <v>-0.21</v>
      </c>
      <c r="K72">
        <v>25.9</v>
      </c>
      <c r="L72">
        <v>201.76</v>
      </c>
      <c r="M72" s="4" t="s">
        <v>152</v>
      </c>
    </row>
    <row r="73" spans="1:13" x14ac:dyDescent="0.3">
      <c r="A73" s="4" t="s">
        <v>1135</v>
      </c>
      <c r="B73" s="4" t="s">
        <v>250</v>
      </c>
      <c r="C73" s="1">
        <v>45491</v>
      </c>
      <c r="D73" s="4" t="s">
        <v>1065</v>
      </c>
      <c r="E73" s="4" t="s">
        <v>1066</v>
      </c>
      <c r="F73">
        <v>14</v>
      </c>
      <c r="G73" s="4" t="s">
        <v>1052</v>
      </c>
      <c r="H73">
        <v>8</v>
      </c>
      <c r="I73">
        <v>8.1999999999999993</v>
      </c>
      <c r="J73">
        <v>0.2</v>
      </c>
      <c r="K73">
        <v>11.45</v>
      </c>
      <c r="L73">
        <v>93.89</v>
      </c>
      <c r="M73" s="4" t="s">
        <v>25</v>
      </c>
    </row>
    <row r="74" spans="1:13" x14ac:dyDescent="0.3">
      <c r="A74" s="4" t="s">
        <v>1136</v>
      </c>
      <c r="B74" s="4" t="s">
        <v>768</v>
      </c>
      <c r="C74" s="1">
        <v>45575</v>
      </c>
      <c r="D74" s="4" t="s">
        <v>1050</v>
      </c>
      <c r="E74" s="4" t="s">
        <v>1066</v>
      </c>
      <c r="F74">
        <v>14</v>
      </c>
      <c r="G74" s="4" t="s">
        <v>1052</v>
      </c>
      <c r="H74">
        <v>8</v>
      </c>
      <c r="I74">
        <v>8.27</v>
      </c>
      <c r="J74">
        <v>0.27</v>
      </c>
      <c r="K74">
        <v>22.29</v>
      </c>
      <c r="L74">
        <v>184.34</v>
      </c>
      <c r="M74" s="4" t="s">
        <v>152</v>
      </c>
    </row>
    <row r="75" spans="1:13" x14ac:dyDescent="0.3">
      <c r="A75" s="4" t="s">
        <v>1137</v>
      </c>
      <c r="B75" s="4" t="s">
        <v>781</v>
      </c>
      <c r="C75" s="1">
        <v>45602</v>
      </c>
      <c r="D75" s="4" t="s">
        <v>1062</v>
      </c>
      <c r="E75" s="4" t="s">
        <v>1058</v>
      </c>
      <c r="F75">
        <v>6</v>
      </c>
      <c r="G75" s="4" t="s">
        <v>1060</v>
      </c>
      <c r="H75">
        <v>8</v>
      </c>
      <c r="I75">
        <v>6.92</v>
      </c>
      <c r="J75">
        <v>-1.08</v>
      </c>
      <c r="K75">
        <v>12.81</v>
      </c>
      <c r="L75">
        <v>88.65</v>
      </c>
      <c r="M75" s="4" t="s">
        <v>152</v>
      </c>
    </row>
    <row r="76" spans="1:13" x14ac:dyDescent="0.3">
      <c r="A76" s="4" t="s">
        <v>1138</v>
      </c>
      <c r="B76" s="4" t="s">
        <v>122</v>
      </c>
      <c r="C76" s="1">
        <v>45591</v>
      </c>
      <c r="D76" s="4" t="s">
        <v>1050</v>
      </c>
      <c r="E76" s="4" t="s">
        <v>1051</v>
      </c>
      <c r="F76">
        <v>8</v>
      </c>
      <c r="G76" s="4" t="s">
        <v>1052</v>
      </c>
      <c r="H76">
        <v>8</v>
      </c>
      <c r="I76">
        <v>8.0500000000000007</v>
      </c>
      <c r="J76">
        <v>0.05</v>
      </c>
      <c r="K76">
        <v>23.84</v>
      </c>
      <c r="L76">
        <v>191.91</v>
      </c>
      <c r="M76" s="4" t="s">
        <v>1071</v>
      </c>
    </row>
    <row r="77" spans="1:13" x14ac:dyDescent="0.3">
      <c r="A77" s="4" t="s">
        <v>1139</v>
      </c>
      <c r="B77" s="4" t="s">
        <v>596</v>
      </c>
      <c r="C77" s="1">
        <v>45515</v>
      </c>
      <c r="D77" s="4" t="s">
        <v>1054</v>
      </c>
      <c r="E77" s="4" t="s">
        <v>1066</v>
      </c>
      <c r="F77">
        <v>14</v>
      </c>
      <c r="G77" s="4" t="s">
        <v>1052</v>
      </c>
      <c r="H77">
        <v>8</v>
      </c>
      <c r="I77">
        <v>8.5</v>
      </c>
      <c r="J77">
        <v>0.5</v>
      </c>
      <c r="K77">
        <v>14.74</v>
      </c>
      <c r="L77">
        <v>125.29</v>
      </c>
      <c r="M77" s="4" t="s">
        <v>152</v>
      </c>
    </row>
    <row r="78" spans="1:13" x14ac:dyDescent="0.3">
      <c r="A78" s="4" t="s">
        <v>1140</v>
      </c>
      <c r="B78" s="4" t="s">
        <v>781</v>
      </c>
      <c r="C78" s="1">
        <v>45630</v>
      </c>
      <c r="D78" s="4" t="s">
        <v>1069</v>
      </c>
      <c r="E78" s="4" t="s">
        <v>1058</v>
      </c>
      <c r="F78">
        <v>6</v>
      </c>
      <c r="G78" s="4" t="s">
        <v>1052</v>
      </c>
      <c r="H78">
        <v>8</v>
      </c>
      <c r="I78">
        <v>8.06</v>
      </c>
      <c r="J78">
        <v>0.06</v>
      </c>
      <c r="K78">
        <v>13.83</v>
      </c>
      <c r="L78">
        <v>111.47</v>
      </c>
      <c r="M78" s="4" t="s">
        <v>25</v>
      </c>
    </row>
    <row r="79" spans="1:13" x14ac:dyDescent="0.3">
      <c r="A79" s="4" t="s">
        <v>1141</v>
      </c>
      <c r="B79" s="4" t="s">
        <v>320</v>
      </c>
      <c r="C79" s="1">
        <v>45501</v>
      </c>
      <c r="D79" s="4" t="s">
        <v>1065</v>
      </c>
      <c r="E79" s="4" t="s">
        <v>1055</v>
      </c>
      <c r="F79">
        <v>22</v>
      </c>
      <c r="G79" s="4" t="s">
        <v>1052</v>
      </c>
      <c r="H79">
        <v>8</v>
      </c>
      <c r="I79">
        <v>8.49</v>
      </c>
      <c r="J79">
        <v>0.49</v>
      </c>
      <c r="K79">
        <v>18.21</v>
      </c>
      <c r="L79">
        <v>154.6</v>
      </c>
      <c r="M79" s="4" t="s">
        <v>25</v>
      </c>
    </row>
    <row r="80" spans="1:13" x14ac:dyDescent="0.3">
      <c r="A80" s="4" t="s">
        <v>1142</v>
      </c>
      <c r="B80" s="4" t="s">
        <v>297</v>
      </c>
      <c r="C80" s="1">
        <v>45630</v>
      </c>
      <c r="D80" s="4" t="s">
        <v>1069</v>
      </c>
      <c r="E80" s="4" t="s">
        <v>1058</v>
      </c>
      <c r="F80">
        <v>6</v>
      </c>
      <c r="G80" s="4" t="s">
        <v>1052</v>
      </c>
      <c r="H80">
        <v>8</v>
      </c>
      <c r="I80">
        <v>7.79</v>
      </c>
      <c r="J80">
        <v>-0.21</v>
      </c>
      <c r="K80">
        <v>25.7</v>
      </c>
      <c r="L80">
        <v>200.2</v>
      </c>
      <c r="M80" s="4" t="s">
        <v>25</v>
      </c>
    </row>
    <row r="81" spans="1:13" x14ac:dyDescent="0.3">
      <c r="A81" s="4" t="s">
        <v>1143</v>
      </c>
      <c r="B81" s="4" t="s">
        <v>1031</v>
      </c>
      <c r="C81" s="1">
        <v>45580</v>
      </c>
      <c r="D81" s="4" t="s">
        <v>1050</v>
      </c>
      <c r="E81" s="4" t="s">
        <v>1058</v>
      </c>
      <c r="F81">
        <v>6</v>
      </c>
      <c r="G81" s="4" t="s">
        <v>1060</v>
      </c>
      <c r="H81">
        <v>8</v>
      </c>
      <c r="I81">
        <v>6.56</v>
      </c>
      <c r="J81">
        <v>-1.44</v>
      </c>
      <c r="K81">
        <v>23.45</v>
      </c>
      <c r="L81">
        <v>153.83000000000001</v>
      </c>
      <c r="M81" s="4" t="s">
        <v>25</v>
      </c>
    </row>
    <row r="82" spans="1:13" x14ac:dyDescent="0.3">
      <c r="A82" s="4" t="s">
        <v>1144</v>
      </c>
      <c r="B82" s="4" t="s">
        <v>979</v>
      </c>
      <c r="C82" s="1">
        <v>45518</v>
      </c>
      <c r="D82" s="4" t="s">
        <v>1054</v>
      </c>
      <c r="E82" s="4" t="s">
        <v>1055</v>
      </c>
      <c r="F82">
        <v>22</v>
      </c>
      <c r="G82" s="4" t="s">
        <v>1060</v>
      </c>
      <c r="H82">
        <v>8</v>
      </c>
      <c r="I82">
        <v>6.25</v>
      </c>
      <c r="J82">
        <v>-1.75</v>
      </c>
      <c r="K82">
        <v>17.09</v>
      </c>
      <c r="L82">
        <v>106.81</v>
      </c>
      <c r="M82" s="4" t="s">
        <v>1071</v>
      </c>
    </row>
    <row r="83" spans="1:13" x14ac:dyDescent="0.3">
      <c r="A83" s="4" t="s">
        <v>1145</v>
      </c>
      <c r="B83" s="4" t="s">
        <v>142</v>
      </c>
      <c r="C83" s="1">
        <v>45607</v>
      </c>
      <c r="D83" s="4" t="s">
        <v>1062</v>
      </c>
      <c r="E83" s="4" t="s">
        <v>1055</v>
      </c>
      <c r="F83">
        <v>22</v>
      </c>
      <c r="G83" s="4" t="s">
        <v>1052</v>
      </c>
      <c r="H83">
        <v>8</v>
      </c>
      <c r="I83">
        <v>8.27</v>
      </c>
      <c r="J83">
        <v>0.27</v>
      </c>
      <c r="K83">
        <v>18.64</v>
      </c>
      <c r="L83">
        <v>154.15</v>
      </c>
      <c r="M83" s="4" t="s">
        <v>25</v>
      </c>
    </row>
    <row r="84" spans="1:13" x14ac:dyDescent="0.3">
      <c r="A84" s="4" t="s">
        <v>1146</v>
      </c>
      <c r="B84" s="4" t="s">
        <v>450</v>
      </c>
      <c r="C84" s="1">
        <v>45631</v>
      </c>
      <c r="D84" s="4" t="s">
        <v>1069</v>
      </c>
      <c r="E84" s="4" t="s">
        <v>1055</v>
      </c>
      <c r="F84">
        <v>22</v>
      </c>
      <c r="G84" s="4" t="s">
        <v>1052</v>
      </c>
      <c r="H84">
        <v>8</v>
      </c>
      <c r="I84">
        <v>7.97</v>
      </c>
      <c r="J84">
        <v>-0.03</v>
      </c>
      <c r="K84">
        <v>27.65</v>
      </c>
      <c r="L84">
        <v>220.37</v>
      </c>
      <c r="M84" s="4" t="s">
        <v>25</v>
      </c>
    </row>
    <row r="85" spans="1:13" x14ac:dyDescent="0.3">
      <c r="A85" s="4" t="s">
        <v>1147</v>
      </c>
      <c r="B85" s="4" t="s">
        <v>689</v>
      </c>
      <c r="C85" s="1">
        <v>45611</v>
      </c>
      <c r="D85" s="4" t="s">
        <v>1062</v>
      </c>
      <c r="E85" s="4" t="s">
        <v>1058</v>
      </c>
      <c r="F85">
        <v>6</v>
      </c>
      <c r="G85" s="4" t="s">
        <v>1073</v>
      </c>
      <c r="H85">
        <v>8</v>
      </c>
      <c r="I85">
        <v>0</v>
      </c>
      <c r="J85">
        <v>-8</v>
      </c>
      <c r="K85">
        <v>20.309999999999999</v>
      </c>
      <c r="L85">
        <v>0</v>
      </c>
      <c r="M85" s="4" t="s">
        <v>25</v>
      </c>
    </row>
    <row r="86" spans="1:13" x14ac:dyDescent="0.3">
      <c r="A86" s="4" t="s">
        <v>1148</v>
      </c>
      <c r="B86" s="4" t="s">
        <v>524</v>
      </c>
      <c r="C86" s="1">
        <v>45558</v>
      </c>
      <c r="D86" s="4" t="s">
        <v>1057</v>
      </c>
      <c r="E86" s="4" t="s">
        <v>1051</v>
      </c>
      <c r="F86">
        <v>8</v>
      </c>
      <c r="G86" s="4" t="s">
        <v>1052</v>
      </c>
      <c r="H86">
        <v>8</v>
      </c>
      <c r="I86">
        <v>7.87</v>
      </c>
      <c r="J86">
        <v>-0.13</v>
      </c>
      <c r="K86">
        <v>16.72</v>
      </c>
      <c r="L86">
        <v>131.59</v>
      </c>
      <c r="M86" s="4" t="s">
        <v>25</v>
      </c>
    </row>
    <row r="87" spans="1:13" x14ac:dyDescent="0.3">
      <c r="A87" s="4" t="s">
        <v>1149</v>
      </c>
      <c r="B87" s="4" t="s">
        <v>705</v>
      </c>
      <c r="C87" s="1">
        <v>45643</v>
      </c>
      <c r="D87" s="4" t="s">
        <v>1069</v>
      </c>
      <c r="E87" s="4" t="s">
        <v>1055</v>
      </c>
      <c r="F87">
        <v>22</v>
      </c>
      <c r="G87" s="4" t="s">
        <v>1052</v>
      </c>
      <c r="H87">
        <v>8</v>
      </c>
      <c r="I87">
        <v>7.94</v>
      </c>
      <c r="J87">
        <v>-0.06</v>
      </c>
      <c r="K87">
        <v>27.02</v>
      </c>
      <c r="L87">
        <v>214.54</v>
      </c>
      <c r="M87" s="4" t="s">
        <v>25</v>
      </c>
    </row>
    <row r="88" spans="1:13" x14ac:dyDescent="0.3">
      <c r="A88" s="4" t="s">
        <v>1150</v>
      </c>
      <c r="B88" s="4" t="s">
        <v>592</v>
      </c>
      <c r="C88" s="1">
        <v>45636</v>
      </c>
      <c r="D88" s="4" t="s">
        <v>1069</v>
      </c>
      <c r="E88" s="4" t="s">
        <v>1066</v>
      </c>
      <c r="F88">
        <v>14</v>
      </c>
      <c r="G88" s="4" t="s">
        <v>1052</v>
      </c>
      <c r="H88">
        <v>8</v>
      </c>
      <c r="I88">
        <v>8.0399999999999991</v>
      </c>
      <c r="J88">
        <v>0.04</v>
      </c>
      <c r="K88">
        <v>17.8</v>
      </c>
      <c r="L88">
        <v>143.11000000000001</v>
      </c>
      <c r="M88" s="4" t="s">
        <v>25</v>
      </c>
    </row>
    <row r="89" spans="1:13" x14ac:dyDescent="0.3">
      <c r="A89" s="4" t="s">
        <v>1151</v>
      </c>
      <c r="B89" s="4" t="s">
        <v>498</v>
      </c>
      <c r="C89" s="1">
        <v>45544</v>
      </c>
      <c r="D89" s="4" t="s">
        <v>1057</v>
      </c>
      <c r="E89" s="4" t="s">
        <v>1055</v>
      </c>
      <c r="F89">
        <v>22</v>
      </c>
      <c r="G89" s="4" t="s">
        <v>1052</v>
      </c>
      <c r="H89">
        <v>8</v>
      </c>
      <c r="I89">
        <v>7.85</v>
      </c>
      <c r="J89">
        <v>-0.15</v>
      </c>
      <c r="K89">
        <v>25.6</v>
      </c>
      <c r="L89">
        <v>200.96</v>
      </c>
      <c r="M89" s="4" t="s">
        <v>1071</v>
      </c>
    </row>
    <row r="90" spans="1:13" x14ac:dyDescent="0.3">
      <c r="A90" s="4" t="s">
        <v>1152</v>
      </c>
      <c r="B90" s="4" t="s">
        <v>632</v>
      </c>
      <c r="C90" s="1">
        <v>45491</v>
      </c>
      <c r="D90" s="4" t="s">
        <v>1065</v>
      </c>
      <c r="E90" s="4" t="s">
        <v>1066</v>
      </c>
      <c r="F90">
        <v>14</v>
      </c>
      <c r="G90" s="4" t="s">
        <v>1052</v>
      </c>
      <c r="H90">
        <v>8</v>
      </c>
      <c r="I90">
        <v>8.44</v>
      </c>
      <c r="J90">
        <v>0.44</v>
      </c>
      <c r="K90">
        <v>20.25</v>
      </c>
      <c r="L90">
        <v>170.91</v>
      </c>
      <c r="M90" s="4" t="s">
        <v>25</v>
      </c>
    </row>
    <row r="91" spans="1:13" x14ac:dyDescent="0.3">
      <c r="A91" s="4" t="s">
        <v>1153</v>
      </c>
      <c r="B91" s="4" t="s">
        <v>289</v>
      </c>
      <c r="C91" s="1">
        <v>45577</v>
      </c>
      <c r="D91" s="4" t="s">
        <v>1050</v>
      </c>
      <c r="E91" s="4" t="s">
        <v>1058</v>
      </c>
      <c r="F91">
        <v>6</v>
      </c>
      <c r="G91" s="4" t="s">
        <v>1060</v>
      </c>
      <c r="H91">
        <v>8</v>
      </c>
      <c r="I91">
        <v>5.58</v>
      </c>
      <c r="J91">
        <v>-2.42</v>
      </c>
      <c r="K91">
        <v>23.55</v>
      </c>
      <c r="L91">
        <v>131.41</v>
      </c>
      <c r="M91" s="4" t="s">
        <v>152</v>
      </c>
    </row>
    <row r="92" spans="1:13" x14ac:dyDescent="0.3">
      <c r="A92" s="4" t="s">
        <v>1154</v>
      </c>
      <c r="B92" s="4" t="s">
        <v>350</v>
      </c>
      <c r="C92" s="1">
        <v>45625</v>
      </c>
      <c r="D92" s="4" t="s">
        <v>1062</v>
      </c>
      <c r="E92" s="4" t="s">
        <v>1058</v>
      </c>
      <c r="F92">
        <v>6</v>
      </c>
      <c r="G92" s="4" t="s">
        <v>1073</v>
      </c>
      <c r="H92">
        <v>8</v>
      </c>
      <c r="I92">
        <v>0</v>
      </c>
      <c r="J92">
        <v>-8</v>
      </c>
      <c r="K92">
        <v>21.1</v>
      </c>
      <c r="L92">
        <v>0</v>
      </c>
      <c r="M92" s="4" t="s">
        <v>25</v>
      </c>
    </row>
    <row r="93" spans="1:13" x14ac:dyDescent="0.3">
      <c r="A93" s="4" t="s">
        <v>1155</v>
      </c>
      <c r="B93" s="4" t="s">
        <v>396</v>
      </c>
      <c r="C93" s="1">
        <v>45567</v>
      </c>
      <c r="D93" s="4" t="s">
        <v>1050</v>
      </c>
      <c r="E93" s="4" t="s">
        <v>1058</v>
      </c>
      <c r="F93">
        <v>6</v>
      </c>
      <c r="G93" s="4" t="s">
        <v>1052</v>
      </c>
      <c r="H93">
        <v>8</v>
      </c>
      <c r="I93">
        <v>8.27</v>
      </c>
      <c r="J93">
        <v>0.27</v>
      </c>
      <c r="K93">
        <v>19.29</v>
      </c>
      <c r="L93">
        <v>159.53</v>
      </c>
      <c r="M93" s="4" t="s">
        <v>152</v>
      </c>
    </row>
    <row r="94" spans="1:13" x14ac:dyDescent="0.3">
      <c r="A94" s="4" t="s">
        <v>1156</v>
      </c>
      <c r="B94" s="4" t="s">
        <v>569</v>
      </c>
      <c r="C94" s="1">
        <v>45559</v>
      </c>
      <c r="D94" s="4" t="s">
        <v>1057</v>
      </c>
      <c r="E94" s="4" t="s">
        <v>1066</v>
      </c>
      <c r="F94">
        <v>14</v>
      </c>
      <c r="G94" s="4" t="s">
        <v>1060</v>
      </c>
      <c r="H94">
        <v>8</v>
      </c>
      <c r="I94">
        <v>6.55</v>
      </c>
      <c r="J94">
        <v>-1.45</v>
      </c>
      <c r="K94">
        <v>14.46</v>
      </c>
      <c r="L94">
        <v>94.71</v>
      </c>
      <c r="M94" s="4" t="s">
        <v>25</v>
      </c>
    </row>
    <row r="95" spans="1:13" x14ac:dyDescent="0.3">
      <c r="A95" s="4" t="s">
        <v>1157</v>
      </c>
      <c r="B95" s="4" t="s">
        <v>611</v>
      </c>
      <c r="C95" s="1">
        <v>45487</v>
      </c>
      <c r="D95" s="4" t="s">
        <v>1065</v>
      </c>
      <c r="E95" s="4" t="s">
        <v>1066</v>
      </c>
      <c r="F95">
        <v>14</v>
      </c>
      <c r="G95" s="4" t="s">
        <v>1073</v>
      </c>
      <c r="H95">
        <v>8</v>
      </c>
      <c r="I95">
        <v>0</v>
      </c>
      <c r="J95">
        <v>-8</v>
      </c>
      <c r="K95">
        <v>13.6</v>
      </c>
      <c r="L95">
        <v>0</v>
      </c>
      <c r="M95" s="4" t="s">
        <v>152</v>
      </c>
    </row>
    <row r="96" spans="1:13" x14ac:dyDescent="0.3">
      <c r="A96" s="4" t="s">
        <v>1158</v>
      </c>
      <c r="B96" s="4" t="s">
        <v>661</v>
      </c>
      <c r="C96" s="1">
        <v>45549</v>
      </c>
      <c r="D96" s="4" t="s">
        <v>1057</v>
      </c>
      <c r="E96" s="4" t="s">
        <v>1066</v>
      </c>
      <c r="F96">
        <v>14</v>
      </c>
      <c r="G96" s="4" t="s">
        <v>1060</v>
      </c>
      <c r="H96">
        <v>8</v>
      </c>
      <c r="I96">
        <v>5.95</v>
      </c>
      <c r="J96">
        <v>-2.0499999999999998</v>
      </c>
      <c r="K96">
        <v>23.1</v>
      </c>
      <c r="L96">
        <v>137.44</v>
      </c>
      <c r="M96" s="4" t="s">
        <v>1071</v>
      </c>
    </row>
    <row r="97" spans="1:13" x14ac:dyDescent="0.3">
      <c r="A97" s="4" t="s">
        <v>1159</v>
      </c>
      <c r="B97" s="4" t="s">
        <v>927</v>
      </c>
      <c r="C97" s="1">
        <v>45525</v>
      </c>
      <c r="D97" s="4" t="s">
        <v>1054</v>
      </c>
      <c r="E97" s="4" t="s">
        <v>1058</v>
      </c>
      <c r="F97">
        <v>6</v>
      </c>
      <c r="G97" s="4" t="s">
        <v>1052</v>
      </c>
      <c r="H97">
        <v>8</v>
      </c>
      <c r="I97">
        <v>8.09</v>
      </c>
      <c r="J97">
        <v>0.09</v>
      </c>
      <c r="K97">
        <v>19.579999999999998</v>
      </c>
      <c r="L97">
        <v>158.4</v>
      </c>
      <c r="M97" s="4" t="s">
        <v>25</v>
      </c>
    </row>
    <row r="98" spans="1:13" x14ac:dyDescent="0.3">
      <c r="A98" s="4" t="s">
        <v>1160</v>
      </c>
      <c r="B98" s="4" t="s">
        <v>720</v>
      </c>
      <c r="C98" s="1">
        <v>45610</v>
      </c>
      <c r="D98" s="4" t="s">
        <v>1062</v>
      </c>
      <c r="E98" s="4" t="s">
        <v>1058</v>
      </c>
      <c r="F98">
        <v>6</v>
      </c>
      <c r="G98" s="4" t="s">
        <v>1063</v>
      </c>
      <c r="H98">
        <v>8</v>
      </c>
      <c r="I98">
        <v>0</v>
      </c>
      <c r="J98">
        <v>-8</v>
      </c>
      <c r="K98">
        <v>25.98</v>
      </c>
      <c r="L98">
        <v>0</v>
      </c>
      <c r="M98" s="4" t="s">
        <v>152</v>
      </c>
    </row>
    <row r="99" spans="1:13" x14ac:dyDescent="0.3">
      <c r="A99" s="4" t="s">
        <v>1161</v>
      </c>
      <c r="B99" s="4" t="s">
        <v>623</v>
      </c>
      <c r="C99" s="1">
        <v>45502</v>
      </c>
      <c r="D99" s="4" t="s">
        <v>1065</v>
      </c>
      <c r="E99" s="4" t="s">
        <v>1055</v>
      </c>
      <c r="F99">
        <v>22</v>
      </c>
      <c r="G99" s="4" t="s">
        <v>1052</v>
      </c>
      <c r="H99">
        <v>8</v>
      </c>
      <c r="I99">
        <v>8.27</v>
      </c>
      <c r="J99">
        <v>0.27</v>
      </c>
      <c r="K99">
        <v>25.02</v>
      </c>
      <c r="L99">
        <v>206.92</v>
      </c>
      <c r="M99" s="4" t="s">
        <v>25</v>
      </c>
    </row>
    <row r="100" spans="1:13" x14ac:dyDescent="0.3">
      <c r="A100" s="4" t="s">
        <v>1162</v>
      </c>
      <c r="B100" s="4" t="s">
        <v>239</v>
      </c>
      <c r="C100" s="1">
        <v>45509</v>
      </c>
      <c r="D100" s="4" t="s">
        <v>1054</v>
      </c>
      <c r="E100" s="4" t="s">
        <v>1066</v>
      </c>
      <c r="F100">
        <v>14</v>
      </c>
      <c r="G100" s="4" t="s">
        <v>1052</v>
      </c>
      <c r="H100">
        <v>8</v>
      </c>
      <c r="I100">
        <v>8.16</v>
      </c>
      <c r="J100">
        <v>0.16</v>
      </c>
      <c r="K100">
        <v>16.16</v>
      </c>
      <c r="L100">
        <v>131.87</v>
      </c>
      <c r="M100" s="4" t="s">
        <v>25</v>
      </c>
    </row>
    <row r="101" spans="1:13" x14ac:dyDescent="0.3">
      <c r="A101" s="4" t="s">
        <v>1163</v>
      </c>
      <c r="B101" s="4" t="s">
        <v>935</v>
      </c>
      <c r="C101" s="1">
        <v>45542</v>
      </c>
      <c r="D101" s="4" t="s">
        <v>1057</v>
      </c>
      <c r="E101" s="4" t="s">
        <v>1066</v>
      </c>
      <c r="F101">
        <v>14</v>
      </c>
      <c r="G101" s="4" t="s">
        <v>1052</v>
      </c>
      <c r="H101">
        <v>8</v>
      </c>
      <c r="I101">
        <v>7.94</v>
      </c>
      <c r="J101">
        <v>-0.06</v>
      </c>
      <c r="K101">
        <v>12.1</v>
      </c>
      <c r="L101">
        <v>96.07</v>
      </c>
      <c r="M101" s="4" t="s">
        <v>152</v>
      </c>
    </row>
    <row r="102" spans="1:13" x14ac:dyDescent="0.3">
      <c r="A102" s="4" t="s">
        <v>1164</v>
      </c>
      <c r="B102" s="4" t="s">
        <v>190</v>
      </c>
      <c r="C102" s="1">
        <v>45528</v>
      </c>
      <c r="D102" s="4" t="s">
        <v>1054</v>
      </c>
      <c r="E102" s="4" t="s">
        <v>1051</v>
      </c>
      <c r="F102">
        <v>8</v>
      </c>
      <c r="G102" s="4" t="s">
        <v>1052</v>
      </c>
      <c r="H102">
        <v>8</v>
      </c>
      <c r="I102">
        <v>8.4600000000000009</v>
      </c>
      <c r="J102">
        <v>0.46</v>
      </c>
      <c r="K102">
        <v>11.27</v>
      </c>
      <c r="L102">
        <v>95.34</v>
      </c>
      <c r="M102" s="4" t="s">
        <v>152</v>
      </c>
    </row>
    <row r="103" spans="1:13" x14ac:dyDescent="0.3">
      <c r="A103" s="4" t="s">
        <v>1165</v>
      </c>
      <c r="B103" s="4" t="s">
        <v>877</v>
      </c>
      <c r="C103" s="1">
        <v>45617</v>
      </c>
      <c r="D103" s="4" t="s">
        <v>1062</v>
      </c>
      <c r="E103" s="4" t="s">
        <v>1066</v>
      </c>
      <c r="F103">
        <v>14</v>
      </c>
      <c r="G103" s="4" t="s">
        <v>1052</v>
      </c>
      <c r="H103">
        <v>8</v>
      </c>
      <c r="I103">
        <v>7.86</v>
      </c>
      <c r="J103">
        <v>-0.14000000000000001</v>
      </c>
      <c r="K103">
        <v>15.89</v>
      </c>
      <c r="L103">
        <v>124.9</v>
      </c>
      <c r="M103" s="4" t="s">
        <v>152</v>
      </c>
    </row>
    <row r="104" spans="1:13" x14ac:dyDescent="0.3">
      <c r="A104" s="4" t="s">
        <v>1166</v>
      </c>
      <c r="B104" s="4" t="s">
        <v>335</v>
      </c>
      <c r="C104" s="1">
        <v>45625</v>
      </c>
      <c r="D104" s="4" t="s">
        <v>1062</v>
      </c>
      <c r="E104" s="4" t="s">
        <v>1058</v>
      </c>
      <c r="F104">
        <v>6</v>
      </c>
      <c r="G104" s="4" t="s">
        <v>1073</v>
      </c>
      <c r="H104">
        <v>8</v>
      </c>
      <c r="I104">
        <v>0</v>
      </c>
      <c r="J104">
        <v>-8</v>
      </c>
      <c r="K104">
        <v>10.71</v>
      </c>
      <c r="L104">
        <v>0</v>
      </c>
      <c r="M104" s="4" t="s">
        <v>152</v>
      </c>
    </row>
    <row r="105" spans="1:13" x14ac:dyDescent="0.3">
      <c r="A105" s="4" t="s">
        <v>1167</v>
      </c>
      <c r="B105" s="4" t="s">
        <v>30</v>
      </c>
      <c r="C105" s="1">
        <v>45598</v>
      </c>
      <c r="D105" s="4" t="s">
        <v>1062</v>
      </c>
      <c r="E105" s="4" t="s">
        <v>1051</v>
      </c>
      <c r="F105">
        <v>8</v>
      </c>
      <c r="G105" s="4" t="s">
        <v>1073</v>
      </c>
      <c r="H105">
        <v>8</v>
      </c>
      <c r="I105">
        <v>0</v>
      </c>
      <c r="J105">
        <v>-8</v>
      </c>
      <c r="K105">
        <v>18.440000000000001</v>
      </c>
      <c r="L105">
        <v>0</v>
      </c>
      <c r="M105" s="4" t="s">
        <v>25</v>
      </c>
    </row>
    <row r="106" spans="1:13" x14ac:dyDescent="0.3">
      <c r="A106" s="4" t="s">
        <v>1168</v>
      </c>
      <c r="B106" s="4" t="s">
        <v>30</v>
      </c>
      <c r="C106" s="1">
        <v>45518</v>
      </c>
      <c r="D106" s="4" t="s">
        <v>1054</v>
      </c>
      <c r="E106" s="4" t="s">
        <v>1066</v>
      </c>
      <c r="F106">
        <v>14</v>
      </c>
      <c r="G106" s="4" t="s">
        <v>1063</v>
      </c>
      <c r="H106">
        <v>8</v>
      </c>
      <c r="I106">
        <v>0</v>
      </c>
      <c r="J106">
        <v>-8</v>
      </c>
      <c r="K106">
        <v>11.36</v>
      </c>
      <c r="L106">
        <v>0</v>
      </c>
      <c r="M106" s="4" t="s">
        <v>25</v>
      </c>
    </row>
    <row r="107" spans="1:13" x14ac:dyDescent="0.3">
      <c r="A107" s="4" t="s">
        <v>1169</v>
      </c>
      <c r="B107" s="4" t="s">
        <v>100</v>
      </c>
      <c r="C107" s="1">
        <v>45650</v>
      </c>
      <c r="D107" s="4" t="s">
        <v>1069</v>
      </c>
      <c r="E107" s="4" t="s">
        <v>1066</v>
      </c>
      <c r="F107">
        <v>14</v>
      </c>
      <c r="G107" s="4" t="s">
        <v>1052</v>
      </c>
      <c r="H107">
        <v>8</v>
      </c>
      <c r="I107">
        <v>8.18</v>
      </c>
      <c r="J107">
        <v>0.18</v>
      </c>
      <c r="K107">
        <v>16.29</v>
      </c>
      <c r="L107">
        <v>133.25</v>
      </c>
      <c r="M107" s="4" t="s">
        <v>25</v>
      </c>
    </row>
    <row r="108" spans="1:13" x14ac:dyDescent="0.3">
      <c r="A108" s="4" t="s">
        <v>1170</v>
      </c>
      <c r="B108" s="4" t="s">
        <v>310</v>
      </c>
      <c r="C108" s="1">
        <v>45502</v>
      </c>
      <c r="D108" s="4" t="s">
        <v>1065</v>
      </c>
      <c r="E108" s="4" t="s">
        <v>1055</v>
      </c>
      <c r="F108">
        <v>22</v>
      </c>
      <c r="G108" s="4" t="s">
        <v>1052</v>
      </c>
      <c r="H108">
        <v>8</v>
      </c>
      <c r="I108">
        <v>8.27</v>
      </c>
      <c r="J108">
        <v>0.27</v>
      </c>
      <c r="K108">
        <v>27.41</v>
      </c>
      <c r="L108">
        <v>226.68</v>
      </c>
      <c r="M108" s="4" t="s">
        <v>152</v>
      </c>
    </row>
    <row r="109" spans="1:13" x14ac:dyDescent="0.3">
      <c r="A109" s="4" t="s">
        <v>1171</v>
      </c>
      <c r="B109" s="4" t="s">
        <v>203</v>
      </c>
      <c r="C109" s="1">
        <v>45576</v>
      </c>
      <c r="D109" s="4" t="s">
        <v>1050</v>
      </c>
      <c r="E109" s="4" t="s">
        <v>1055</v>
      </c>
      <c r="F109">
        <v>22</v>
      </c>
      <c r="G109" s="4" t="s">
        <v>1063</v>
      </c>
      <c r="H109">
        <v>8</v>
      </c>
      <c r="I109">
        <v>0</v>
      </c>
      <c r="J109">
        <v>-8</v>
      </c>
      <c r="K109">
        <v>23.77</v>
      </c>
      <c r="L109">
        <v>0</v>
      </c>
      <c r="M109" s="4" t="s">
        <v>25</v>
      </c>
    </row>
    <row r="110" spans="1:13" x14ac:dyDescent="0.3">
      <c r="A110" s="4" t="s">
        <v>1172</v>
      </c>
      <c r="B110" s="4" t="s">
        <v>274</v>
      </c>
      <c r="C110" s="1">
        <v>45481</v>
      </c>
      <c r="D110" s="4" t="s">
        <v>1065</v>
      </c>
      <c r="E110" s="4" t="s">
        <v>1058</v>
      </c>
      <c r="F110">
        <v>6</v>
      </c>
      <c r="G110" s="4" t="s">
        <v>1052</v>
      </c>
      <c r="H110">
        <v>8</v>
      </c>
      <c r="I110">
        <v>7.96</v>
      </c>
      <c r="J110">
        <v>-0.04</v>
      </c>
      <c r="K110">
        <v>19.68</v>
      </c>
      <c r="L110">
        <v>156.65</v>
      </c>
      <c r="M110" s="4" t="s">
        <v>25</v>
      </c>
    </row>
    <row r="111" spans="1:13" x14ac:dyDescent="0.3">
      <c r="A111" s="4" t="s">
        <v>1173</v>
      </c>
      <c r="B111" s="4" t="s">
        <v>233</v>
      </c>
      <c r="C111" s="1">
        <v>45535</v>
      </c>
      <c r="D111" s="4" t="s">
        <v>1054</v>
      </c>
      <c r="E111" s="4" t="s">
        <v>1058</v>
      </c>
      <c r="F111">
        <v>6</v>
      </c>
      <c r="G111" s="4" t="s">
        <v>1052</v>
      </c>
      <c r="H111">
        <v>8</v>
      </c>
      <c r="I111">
        <v>8.27</v>
      </c>
      <c r="J111">
        <v>0.27</v>
      </c>
      <c r="K111">
        <v>21.15</v>
      </c>
      <c r="L111">
        <v>174.91</v>
      </c>
      <c r="M111" s="4" t="s">
        <v>152</v>
      </c>
    </row>
    <row r="112" spans="1:13" x14ac:dyDescent="0.3">
      <c r="A112" s="4" t="s">
        <v>1174</v>
      </c>
      <c r="B112" s="4" t="s">
        <v>837</v>
      </c>
      <c r="C112" s="1">
        <v>45625</v>
      </c>
      <c r="D112" s="4" t="s">
        <v>1062</v>
      </c>
      <c r="E112" s="4" t="s">
        <v>1055</v>
      </c>
      <c r="F112">
        <v>22</v>
      </c>
      <c r="G112" s="4" t="s">
        <v>1052</v>
      </c>
      <c r="H112">
        <v>8</v>
      </c>
      <c r="I112">
        <v>8.17</v>
      </c>
      <c r="J112">
        <v>0.17</v>
      </c>
      <c r="K112">
        <v>19.12</v>
      </c>
      <c r="L112">
        <v>156.21</v>
      </c>
      <c r="M112" s="4" t="s">
        <v>25</v>
      </c>
    </row>
    <row r="113" spans="1:13" x14ac:dyDescent="0.3">
      <c r="A113" s="4" t="s">
        <v>1175</v>
      </c>
      <c r="B113" s="4" t="s">
        <v>354</v>
      </c>
      <c r="C113" s="1">
        <v>45628</v>
      </c>
      <c r="D113" s="4" t="s">
        <v>1069</v>
      </c>
      <c r="E113" s="4" t="s">
        <v>1058</v>
      </c>
      <c r="F113">
        <v>6</v>
      </c>
      <c r="G113" s="4" t="s">
        <v>1052</v>
      </c>
      <c r="H113">
        <v>8</v>
      </c>
      <c r="I113">
        <v>8.1</v>
      </c>
      <c r="J113">
        <v>0.1</v>
      </c>
      <c r="K113">
        <v>24.49</v>
      </c>
      <c r="L113">
        <v>198.37</v>
      </c>
      <c r="M113" s="4" t="s">
        <v>152</v>
      </c>
    </row>
    <row r="114" spans="1:13" x14ac:dyDescent="0.3">
      <c r="A114" s="4" t="s">
        <v>1176</v>
      </c>
      <c r="B114" s="4" t="s">
        <v>764</v>
      </c>
      <c r="C114" s="1">
        <v>45656</v>
      </c>
      <c r="D114" s="4" t="s">
        <v>1069</v>
      </c>
      <c r="E114" s="4" t="s">
        <v>1066</v>
      </c>
      <c r="F114">
        <v>14</v>
      </c>
      <c r="G114" s="4" t="s">
        <v>1052</v>
      </c>
      <c r="H114">
        <v>8</v>
      </c>
      <c r="I114">
        <v>7.9</v>
      </c>
      <c r="J114">
        <v>-0.1</v>
      </c>
      <c r="K114">
        <v>24.33</v>
      </c>
      <c r="L114">
        <v>192.21</v>
      </c>
      <c r="M114" s="4" t="s">
        <v>152</v>
      </c>
    </row>
    <row r="115" spans="1:13" x14ac:dyDescent="0.3">
      <c r="A115" s="4" t="s">
        <v>1177</v>
      </c>
      <c r="B115" s="4" t="s">
        <v>511</v>
      </c>
      <c r="C115" s="1">
        <v>45629</v>
      </c>
      <c r="D115" s="4" t="s">
        <v>1069</v>
      </c>
      <c r="E115" s="4" t="s">
        <v>1058</v>
      </c>
      <c r="F115">
        <v>6</v>
      </c>
      <c r="G115" s="4" t="s">
        <v>1052</v>
      </c>
      <c r="H115">
        <v>8</v>
      </c>
      <c r="I115">
        <v>8</v>
      </c>
      <c r="J115">
        <v>0</v>
      </c>
      <c r="K115">
        <v>25.06</v>
      </c>
      <c r="L115">
        <v>200.48</v>
      </c>
      <c r="M115" s="4" t="s">
        <v>152</v>
      </c>
    </row>
    <row r="116" spans="1:13" x14ac:dyDescent="0.3">
      <c r="A116" s="4" t="s">
        <v>1178</v>
      </c>
      <c r="B116" s="4" t="s">
        <v>894</v>
      </c>
      <c r="C116" s="1">
        <v>45537</v>
      </c>
      <c r="D116" s="4" t="s">
        <v>1057</v>
      </c>
      <c r="E116" s="4" t="s">
        <v>1051</v>
      </c>
      <c r="F116">
        <v>8</v>
      </c>
      <c r="G116" s="4" t="s">
        <v>1052</v>
      </c>
      <c r="H116">
        <v>8</v>
      </c>
      <c r="I116">
        <v>7.78</v>
      </c>
      <c r="J116">
        <v>-0.22</v>
      </c>
      <c r="K116">
        <v>13.22</v>
      </c>
      <c r="L116">
        <v>102.85</v>
      </c>
      <c r="M116" s="4" t="s">
        <v>1071</v>
      </c>
    </row>
    <row r="117" spans="1:13" x14ac:dyDescent="0.3">
      <c r="A117" s="4" t="s">
        <v>1179</v>
      </c>
      <c r="B117" s="4" t="s">
        <v>665</v>
      </c>
      <c r="C117" s="1">
        <v>45644</v>
      </c>
      <c r="D117" s="4" t="s">
        <v>1069</v>
      </c>
      <c r="E117" s="4" t="s">
        <v>1051</v>
      </c>
      <c r="F117">
        <v>8</v>
      </c>
      <c r="G117" s="4" t="s">
        <v>1052</v>
      </c>
      <c r="H117">
        <v>8</v>
      </c>
      <c r="I117">
        <v>8.14</v>
      </c>
      <c r="J117">
        <v>0.14000000000000001</v>
      </c>
      <c r="K117">
        <v>20.22</v>
      </c>
      <c r="L117">
        <v>164.59</v>
      </c>
      <c r="M117" s="4" t="s">
        <v>25</v>
      </c>
    </row>
    <row r="118" spans="1:13" x14ac:dyDescent="0.3">
      <c r="A118" s="4" t="s">
        <v>1180</v>
      </c>
      <c r="B118" s="4" t="s">
        <v>519</v>
      </c>
      <c r="C118" s="1">
        <v>45642</v>
      </c>
      <c r="D118" s="4" t="s">
        <v>1069</v>
      </c>
      <c r="E118" s="4" t="s">
        <v>1055</v>
      </c>
      <c r="F118">
        <v>22</v>
      </c>
      <c r="G118" s="4" t="s">
        <v>1073</v>
      </c>
      <c r="H118">
        <v>8</v>
      </c>
      <c r="I118">
        <v>0</v>
      </c>
      <c r="J118">
        <v>-8</v>
      </c>
      <c r="K118">
        <v>16.440000000000001</v>
      </c>
      <c r="L118">
        <v>0</v>
      </c>
      <c r="M118" s="4" t="s">
        <v>1071</v>
      </c>
    </row>
    <row r="119" spans="1:13" x14ac:dyDescent="0.3">
      <c r="A119" s="4" t="s">
        <v>1181</v>
      </c>
      <c r="B119" s="4" t="s">
        <v>776</v>
      </c>
      <c r="C119" s="1">
        <v>45611</v>
      </c>
      <c r="D119" s="4" t="s">
        <v>1062</v>
      </c>
      <c r="E119" s="4" t="s">
        <v>1051</v>
      </c>
      <c r="F119">
        <v>8</v>
      </c>
      <c r="G119" s="4" t="s">
        <v>1052</v>
      </c>
      <c r="H119">
        <v>8</v>
      </c>
      <c r="I119">
        <v>7.84</v>
      </c>
      <c r="J119">
        <v>-0.16</v>
      </c>
      <c r="K119">
        <v>22.92</v>
      </c>
      <c r="L119">
        <v>179.69</v>
      </c>
      <c r="M119" s="4" t="s">
        <v>152</v>
      </c>
    </row>
    <row r="120" spans="1:13" x14ac:dyDescent="0.3">
      <c r="A120" s="4" t="s">
        <v>1182</v>
      </c>
      <c r="B120" s="4" t="s">
        <v>569</v>
      </c>
      <c r="C120" s="1">
        <v>45581</v>
      </c>
      <c r="D120" s="4" t="s">
        <v>1050</v>
      </c>
      <c r="E120" s="4" t="s">
        <v>1051</v>
      </c>
      <c r="F120">
        <v>8</v>
      </c>
      <c r="G120" s="4" t="s">
        <v>1073</v>
      </c>
      <c r="H120">
        <v>8</v>
      </c>
      <c r="I120">
        <v>0</v>
      </c>
      <c r="J120">
        <v>-8</v>
      </c>
      <c r="K120">
        <v>13.56</v>
      </c>
      <c r="L120">
        <v>0</v>
      </c>
      <c r="M120" s="4" t="s">
        <v>25</v>
      </c>
    </row>
    <row r="121" spans="1:13" x14ac:dyDescent="0.3">
      <c r="A121" s="4" t="s">
        <v>1183</v>
      </c>
      <c r="B121" s="4" t="s">
        <v>203</v>
      </c>
      <c r="C121" s="1">
        <v>45529</v>
      </c>
      <c r="D121" s="4" t="s">
        <v>1054</v>
      </c>
      <c r="E121" s="4" t="s">
        <v>1051</v>
      </c>
      <c r="F121">
        <v>8</v>
      </c>
      <c r="G121" s="4" t="s">
        <v>1052</v>
      </c>
      <c r="H121">
        <v>8</v>
      </c>
      <c r="I121">
        <v>8.35</v>
      </c>
      <c r="J121">
        <v>0.35</v>
      </c>
      <c r="K121">
        <v>13.83</v>
      </c>
      <c r="L121">
        <v>115.48</v>
      </c>
      <c r="M121" s="4" t="s">
        <v>1071</v>
      </c>
    </row>
    <row r="122" spans="1:13" x14ac:dyDescent="0.3">
      <c r="A122" s="4" t="s">
        <v>1184</v>
      </c>
      <c r="B122" s="4" t="s">
        <v>515</v>
      </c>
      <c r="C122" s="1">
        <v>45633</v>
      </c>
      <c r="D122" s="4" t="s">
        <v>1069</v>
      </c>
      <c r="E122" s="4" t="s">
        <v>1066</v>
      </c>
      <c r="F122">
        <v>14</v>
      </c>
      <c r="G122" s="4" t="s">
        <v>1052</v>
      </c>
      <c r="H122">
        <v>8</v>
      </c>
      <c r="I122">
        <v>8.49</v>
      </c>
      <c r="J122">
        <v>0.49</v>
      </c>
      <c r="K122">
        <v>14.09</v>
      </c>
      <c r="L122">
        <v>119.62</v>
      </c>
      <c r="M122" s="4" t="s">
        <v>152</v>
      </c>
    </row>
    <row r="123" spans="1:13" x14ac:dyDescent="0.3">
      <c r="A123" s="4" t="s">
        <v>1185</v>
      </c>
      <c r="B123" s="4" t="s">
        <v>724</v>
      </c>
      <c r="C123" s="1">
        <v>45657</v>
      </c>
      <c r="D123" s="4" t="s">
        <v>1069</v>
      </c>
      <c r="E123" s="4" t="s">
        <v>1058</v>
      </c>
      <c r="F123">
        <v>6</v>
      </c>
      <c r="G123" s="4" t="s">
        <v>1063</v>
      </c>
      <c r="H123">
        <v>8</v>
      </c>
      <c r="I123">
        <v>0</v>
      </c>
      <c r="J123">
        <v>-8</v>
      </c>
      <c r="K123">
        <v>16.329999999999998</v>
      </c>
      <c r="L123">
        <v>0</v>
      </c>
      <c r="M123" s="4" t="s">
        <v>25</v>
      </c>
    </row>
    <row r="124" spans="1:13" x14ac:dyDescent="0.3">
      <c r="A124" s="4" t="s">
        <v>1186</v>
      </c>
      <c r="B124" s="4" t="s">
        <v>877</v>
      </c>
      <c r="C124" s="1">
        <v>45653</v>
      </c>
      <c r="D124" s="4" t="s">
        <v>1069</v>
      </c>
      <c r="E124" s="4" t="s">
        <v>1055</v>
      </c>
      <c r="F124">
        <v>22</v>
      </c>
      <c r="G124" s="4" t="s">
        <v>1052</v>
      </c>
      <c r="H124">
        <v>8</v>
      </c>
      <c r="I124">
        <v>8.32</v>
      </c>
      <c r="J124">
        <v>0.32</v>
      </c>
      <c r="K124">
        <v>14.01</v>
      </c>
      <c r="L124">
        <v>116.56</v>
      </c>
      <c r="M124" s="4" t="s">
        <v>152</v>
      </c>
    </row>
    <row r="125" spans="1:13" x14ac:dyDescent="0.3">
      <c r="A125" s="4" t="s">
        <v>1187</v>
      </c>
      <c r="B125" s="4" t="s">
        <v>999</v>
      </c>
      <c r="C125" s="1">
        <v>45487</v>
      </c>
      <c r="D125" s="4" t="s">
        <v>1065</v>
      </c>
      <c r="E125" s="4" t="s">
        <v>1051</v>
      </c>
      <c r="F125">
        <v>8</v>
      </c>
      <c r="G125" s="4" t="s">
        <v>1052</v>
      </c>
      <c r="H125">
        <v>8</v>
      </c>
      <c r="I125">
        <v>7.95</v>
      </c>
      <c r="J125">
        <v>-0.05</v>
      </c>
      <c r="K125">
        <v>12.5</v>
      </c>
      <c r="L125">
        <v>99.38</v>
      </c>
      <c r="M125" s="4" t="s">
        <v>1071</v>
      </c>
    </row>
    <row r="126" spans="1:13" x14ac:dyDescent="0.3">
      <c r="A126" s="4" t="s">
        <v>1188</v>
      </c>
      <c r="B126" s="4" t="s">
        <v>368</v>
      </c>
      <c r="C126" s="1">
        <v>45518</v>
      </c>
      <c r="D126" s="4" t="s">
        <v>1054</v>
      </c>
      <c r="E126" s="4" t="s">
        <v>1055</v>
      </c>
      <c r="F126">
        <v>22</v>
      </c>
      <c r="G126" s="4" t="s">
        <v>1063</v>
      </c>
      <c r="H126">
        <v>8</v>
      </c>
      <c r="I126">
        <v>0</v>
      </c>
      <c r="J126">
        <v>-8</v>
      </c>
      <c r="K126">
        <v>27.01</v>
      </c>
      <c r="L126">
        <v>0</v>
      </c>
      <c r="M126" s="4" t="s">
        <v>152</v>
      </c>
    </row>
    <row r="127" spans="1:13" x14ac:dyDescent="0.3">
      <c r="A127" s="4" t="s">
        <v>1189</v>
      </c>
      <c r="B127" s="4" t="s">
        <v>320</v>
      </c>
      <c r="C127" s="1">
        <v>45579</v>
      </c>
      <c r="D127" s="4" t="s">
        <v>1050</v>
      </c>
      <c r="E127" s="4" t="s">
        <v>1058</v>
      </c>
      <c r="F127">
        <v>6</v>
      </c>
      <c r="G127" s="4" t="s">
        <v>1052</v>
      </c>
      <c r="H127">
        <v>8</v>
      </c>
      <c r="I127">
        <v>8.42</v>
      </c>
      <c r="J127">
        <v>0.42</v>
      </c>
      <c r="K127">
        <v>11.39</v>
      </c>
      <c r="L127">
        <v>95.9</v>
      </c>
      <c r="M127" s="4" t="s">
        <v>152</v>
      </c>
    </row>
    <row r="128" spans="1:13" x14ac:dyDescent="0.3">
      <c r="A128" s="4" t="s">
        <v>1190</v>
      </c>
      <c r="B128" s="4" t="s">
        <v>122</v>
      </c>
      <c r="C128" s="1">
        <v>45560</v>
      </c>
      <c r="D128" s="4" t="s">
        <v>1057</v>
      </c>
      <c r="E128" s="4" t="s">
        <v>1058</v>
      </c>
      <c r="F128">
        <v>6</v>
      </c>
      <c r="G128" s="4" t="s">
        <v>1052</v>
      </c>
      <c r="H128">
        <v>8</v>
      </c>
      <c r="I128">
        <v>7.81</v>
      </c>
      <c r="J128">
        <v>-0.19</v>
      </c>
      <c r="K128">
        <v>22.83</v>
      </c>
      <c r="L128">
        <v>178.3</v>
      </c>
      <c r="M128" s="4" t="s">
        <v>152</v>
      </c>
    </row>
    <row r="129" spans="1:13" x14ac:dyDescent="0.3">
      <c r="A129" s="4" t="s">
        <v>1191</v>
      </c>
      <c r="B129" s="4" t="s">
        <v>498</v>
      </c>
      <c r="C129" s="1">
        <v>45608</v>
      </c>
      <c r="D129" s="4" t="s">
        <v>1062</v>
      </c>
      <c r="E129" s="4" t="s">
        <v>1055</v>
      </c>
      <c r="F129">
        <v>22</v>
      </c>
      <c r="G129" s="4" t="s">
        <v>1052</v>
      </c>
      <c r="H129">
        <v>8</v>
      </c>
      <c r="I129">
        <v>8.32</v>
      </c>
      <c r="J129">
        <v>0.32</v>
      </c>
      <c r="K129">
        <v>27.54</v>
      </c>
      <c r="L129">
        <v>229.13</v>
      </c>
      <c r="M129" s="4" t="s">
        <v>152</v>
      </c>
    </row>
    <row r="130" spans="1:13" x14ac:dyDescent="0.3">
      <c r="A130" s="4" t="s">
        <v>1192</v>
      </c>
      <c r="B130" s="4" t="s">
        <v>203</v>
      </c>
      <c r="C130" s="1">
        <v>45634</v>
      </c>
      <c r="D130" s="4" t="s">
        <v>1069</v>
      </c>
      <c r="E130" s="4" t="s">
        <v>1051</v>
      </c>
      <c r="F130">
        <v>8</v>
      </c>
      <c r="G130" s="4" t="s">
        <v>1060</v>
      </c>
      <c r="H130">
        <v>8</v>
      </c>
      <c r="I130">
        <v>6.88</v>
      </c>
      <c r="J130">
        <v>-1.1200000000000001</v>
      </c>
      <c r="K130">
        <v>14.55</v>
      </c>
      <c r="L130">
        <v>100.1</v>
      </c>
      <c r="M130" s="4" t="s">
        <v>25</v>
      </c>
    </row>
    <row r="131" spans="1:13" x14ac:dyDescent="0.3">
      <c r="A131" s="4" t="s">
        <v>1193</v>
      </c>
      <c r="B131" s="4" t="s">
        <v>829</v>
      </c>
      <c r="C131" s="1">
        <v>45565</v>
      </c>
      <c r="D131" s="4" t="s">
        <v>1057</v>
      </c>
      <c r="E131" s="4" t="s">
        <v>1055</v>
      </c>
      <c r="F131">
        <v>22</v>
      </c>
      <c r="G131" s="4" t="s">
        <v>1060</v>
      </c>
      <c r="H131">
        <v>8</v>
      </c>
      <c r="I131">
        <v>7.13</v>
      </c>
      <c r="J131">
        <v>-0.87</v>
      </c>
      <c r="K131">
        <v>18.43</v>
      </c>
      <c r="L131">
        <v>131.41</v>
      </c>
      <c r="M131" s="4" t="s">
        <v>25</v>
      </c>
    </row>
    <row r="132" spans="1:13" x14ac:dyDescent="0.3">
      <c r="A132" s="4" t="s">
        <v>1194</v>
      </c>
      <c r="B132" s="4" t="s">
        <v>540</v>
      </c>
      <c r="C132" s="1">
        <v>45540</v>
      </c>
      <c r="D132" s="4" t="s">
        <v>1057</v>
      </c>
      <c r="E132" s="4" t="s">
        <v>1051</v>
      </c>
      <c r="F132">
        <v>8</v>
      </c>
      <c r="G132" s="4" t="s">
        <v>1052</v>
      </c>
      <c r="H132">
        <v>8</v>
      </c>
      <c r="I132">
        <v>7.88</v>
      </c>
      <c r="J132">
        <v>-0.12</v>
      </c>
      <c r="K132">
        <v>19.39</v>
      </c>
      <c r="L132">
        <v>152.79</v>
      </c>
      <c r="M132" s="4" t="s">
        <v>25</v>
      </c>
    </row>
    <row r="133" spans="1:13" x14ac:dyDescent="0.3">
      <c r="A133" s="4" t="s">
        <v>1195</v>
      </c>
      <c r="B133" s="4" t="s">
        <v>869</v>
      </c>
      <c r="C133" s="1">
        <v>45581</v>
      </c>
      <c r="D133" s="4" t="s">
        <v>1050</v>
      </c>
      <c r="E133" s="4" t="s">
        <v>1058</v>
      </c>
      <c r="F133">
        <v>6</v>
      </c>
      <c r="G133" s="4" t="s">
        <v>1052</v>
      </c>
      <c r="H133">
        <v>8</v>
      </c>
      <c r="I133">
        <v>8.1</v>
      </c>
      <c r="J133">
        <v>0.1</v>
      </c>
      <c r="K133">
        <v>14.68</v>
      </c>
      <c r="L133">
        <v>118.91</v>
      </c>
      <c r="M133" s="4" t="s">
        <v>1071</v>
      </c>
    </row>
    <row r="134" spans="1:13" x14ac:dyDescent="0.3">
      <c r="A134" s="4" t="s">
        <v>1196</v>
      </c>
      <c r="B134" s="4" t="s">
        <v>685</v>
      </c>
      <c r="C134" s="1">
        <v>45642</v>
      </c>
      <c r="D134" s="4" t="s">
        <v>1069</v>
      </c>
      <c r="E134" s="4" t="s">
        <v>1051</v>
      </c>
      <c r="F134">
        <v>8</v>
      </c>
      <c r="G134" s="4" t="s">
        <v>1063</v>
      </c>
      <c r="H134">
        <v>8</v>
      </c>
      <c r="I134">
        <v>0</v>
      </c>
      <c r="J134">
        <v>-8</v>
      </c>
      <c r="K134">
        <v>24.23</v>
      </c>
      <c r="L134">
        <v>0</v>
      </c>
      <c r="M134" s="4" t="s">
        <v>152</v>
      </c>
    </row>
    <row r="135" spans="1:13" x14ac:dyDescent="0.3">
      <c r="A135" s="4" t="s">
        <v>1197</v>
      </c>
      <c r="B135" s="4" t="s">
        <v>409</v>
      </c>
      <c r="C135" s="1">
        <v>45489</v>
      </c>
      <c r="D135" s="4" t="s">
        <v>1065</v>
      </c>
      <c r="E135" s="4" t="s">
        <v>1066</v>
      </c>
      <c r="F135">
        <v>14</v>
      </c>
      <c r="G135" s="4" t="s">
        <v>1052</v>
      </c>
      <c r="H135">
        <v>8</v>
      </c>
      <c r="I135">
        <v>7.81</v>
      </c>
      <c r="J135">
        <v>-0.19</v>
      </c>
      <c r="K135">
        <v>12.5</v>
      </c>
      <c r="L135">
        <v>97.62</v>
      </c>
      <c r="M135" s="4" t="s">
        <v>152</v>
      </c>
    </row>
    <row r="136" spans="1:13" x14ac:dyDescent="0.3">
      <c r="A136" s="4" t="s">
        <v>1198</v>
      </c>
      <c r="B136" s="4" t="s">
        <v>208</v>
      </c>
      <c r="C136" s="1">
        <v>45613</v>
      </c>
      <c r="D136" s="4" t="s">
        <v>1062</v>
      </c>
      <c r="E136" s="4" t="s">
        <v>1051</v>
      </c>
      <c r="F136">
        <v>8</v>
      </c>
      <c r="G136" s="4" t="s">
        <v>1063</v>
      </c>
      <c r="H136">
        <v>8</v>
      </c>
      <c r="I136">
        <v>0</v>
      </c>
      <c r="J136">
        <v>-8</v>
      </c>
      <c r="K136">
        <v>20.97</v>
      </c>
      <c r="L136">
        <v>0</v>
      </c>
      <c r="M136" s="4" t="s">
        <v>152</v>
      </c>
    </row>
    <row r="137" spans="1:13" x14ac:dyDescent="0.3">
      <c r="A137" s="4" t="s">
        <v>1199</v>
      </c>
      <c r="B137" s="4" t="s">
        <v>865</v>
      </c>
      <c r="C137" s="1">
        <v>45635</v>
      </c>
      <c r="D137" s="4" t="s">
        <v>1069</v>
      </c>
      <c r="E137" s="4" t="s">
        <v>1058</v>
      </c>
      <c r="F137">
        <v>6</v>
      </c>
      <c r="G137" s="4" t="s">
        <v>1073</v>
      </c>
      <c r="H137">
        <v>8</v>
      </c>
      <c r="I137">
        <v>0</v>
      </c>
      <c r="J137">
        <v>-8</v>
      </c>
      <c r="K137">
        <v>23.75</v>
      </c>
      <c r="L137">
        <v>0</v>
      </c>
      <c r="M137" s="4" t="s">
        <v>25</v>
      </c>
    </row>
    <row r="138" spans="1:13" x14ac:dyDescent="0.3">
      <c r="A138" s="4" t="s">
        <v>1200</v>
      </c>
      <c r="B138" s="4" t="s">
        <v>471</v>
      </c>
      <c r="C138" s="1">
        <v>45501</v>
      </c>
      <c r="D138" s="4" t="s">
        <v>1065</v>
      </c>
      <c r="E138" s="4" t="s">
        <v>1051</v>
      </c>
      <c r="F138">
        <v>8</v>
      </c>
      <c r="G138" s="4" t="s">
        <v>1052</v>
      </c>
      <c r="H138">
        <v>8</v>
      </c>
      <c r="I138">
        <v>8.09</v>
      </c>
      <c r="J138">
        <v>0.09</v>
      </c>
      <c r="K138">
        <v>15.75</v>
      </c>
      <c r="L138">
        <v>127.42</v>
      </c>
      <c r="M138" s="4" t="s">
        <v>152</v>
      </c>
    </row>
    <row r="139" spans="1:13" x14ac:dyDescent="0.3">
      <c r="A139" s="4" t="s">
        <v>1201</v>
      </c>
      <c r="B139" s="4" t="s">
        <v>636</v>
      </c>
      <c r="C139" s="1">
        <v>45636</v>
      </c>
      <c r="D139" s="4" t="s">
        <v>1069</v>
      </c>
      <c r="E139" s="4" t="s">
        <v>1055</v>
      </c>
      <c r="F139">
        <v>22</v>
      </c>
      <c r="G139" s="4" t="s">
        <v>1052</v>
      </c>
      <c r="H139">
        <v>8</v>
      </c>
      <c r="I139">
        <v>7.76</v>
      </c>
      <c r="J139">
        <v>-0.24</v>
      </c>
      <c r="K139">
        <v>25.33</v>
      </c>
      <c r="L139">
        <v>196.56</v>
      </c>
      <c r="M139" s="4" t="s">
        <v>25</v>
      </c>
    </row>
    <row r="140" spans="1:13" x14ac:dyDescent="0.3">
      <c r="A140" s="4" t="s">
        <v>1202</v>
      </c>
      <c r="B140" s="4" t="s">
        <v>752</v>
      </c>
      <c r="C140" s="1">
        <v>45658</v>
      </c>
      <c r="D140" s="4" t="s">
        <v>1203</v>
      </c>
      <c r="E140" s="4" t="s">
        <v>1058</v>
      </c>
      <c r="F140">
        <v>6</v>
      </c>
      <c r="G140" s="4" t="s">
        <v>1052</v>
      </c>
      <c r="H140">
        <v>8</v>
      </c>
      <c r="I140">
        <v>8.17</v>
      </c>
      <c r="J140">
        <v>0.17</v>
      </c>
      <c r="K140">
        <v>25.57</v>
      </c>
      <c r="L140">
        <v>208.91</v>
      </c>
      <c r="M140" s="4" t="s">
        <v>25</v>
      </c>
    </row>
    <row r="141" spans="1:13" x14ac:dyDescent="0.3">
      <c r="A141" s="4" t="s">
        <v>1204</v>
      </c>
      <c r="B141" s="4" t="s">
        <v>801</v>
      </c>
      <c r="C141" s="1">
        <v>45498</v>
      </c>
      <c r="D141" s="4" t="s">
        <v>1065</v>
      </c>
      <c r="E141" s="4" t="s">
        <v>1051</v>
      </c>
      <c r="F141">
        <v>8</v>
      </c>
      <c r="G141" s="4" t="s">
        <v>1063</v>
      </c>
      <c r="H141">
        <v>8</v>
      </c>
      <c r="I141">
        <v>0</v>
      </c>
      <c r="J141">
        <v>-8</v>
      </c>
      <c r="K141">
        <v>17.18</v>
      </c>
      <c r="L141">
        <v>0</v>
      </c>
      <c r="M141" s="4" t="s">
        <v>25</v>
      </c>
    </row>
    <row r="142" spans="1:13" x14ac:dyDescent="0.3">
      <c r="A142" s="4" t="s">
        <v>1205</v>
      </c>
      <c r="B142" s="4" t="s">
        <v>677</v>
      </c>
      <c r="C142" s="1">
        <v>45610</v>
      </c>
      <c r="D142" s="4" t="s">
        <v>1062</v>
      </c>
      <c r="E142" s="4" t="s">
        <v>1066</v>
      </c>
      <c r="F142">
        <v>14</v>
      </c>
      <c r="G142" s="4" t="s">
        <v>1052</v>
      </c>
      <c r="H142">
        <v>8</v>
      </c>
      <c r="I142">
        <v>8.0399999999999991</v>
      </c>
      <c r="J142">
        <v>0.04</v>
      </c>
      <c r="K142">
        <v>13.2</v>
      </c>
      <c r="L142">
        <v>106.13</v>
      </c>
      <c r="M142" s="4" t="s">
        <v>25</v>
      </c>
    </row>
    <row r="143" spans="1:13" x14ac:dyDescent="0.3">
      <c r="A143" s="4" t="s">
        <v>1206</v>
      </c>
      <c r="B143" s="4" t="s">
        <v>165</v>
      </c>
      <c r="C143" s="1">
        <v>45622</v>
      </c>
      <c r="D143" s="4" t="s">
        <v>1062</v>
      </c>
      <c r="E143" s="4" t="s">
        <v>1058</v>
      </c>
      <c r="F143">
        <v>6</v>
      </c>
      <c r="G143" s="4" t="s">
        <v>1052</v>
      </c>
      <c r="H143">
        <v>8</v>
      </c>
      <c r="I143">
        <v>8.41</v>
      </c>
      <c r="J143">
        <v>0.41</v>
      </c>
      <c r="K143">
        <v>11.98</v>
      </c>
      <c r="L143">
        <v>100.75</v>
      </c>
      <c r="M143" s="4" t="s">
        <v>152</v>
      </c>
    </row>
    <row r="144" spans="1:13" x14ac:dyDescent="0.3">
      <c r="A144" s="4" t="s">
        <v>1207</v>
      </c>
      <c r="B144" s="4" t="s">
        <v>1015</v>
      </c>
      <c r="C144" s="1">
        <v>45499</v>
      </c>
      <c r="D144" s="4" t="s">
        <v>1065</v>
      </c>
      <c r="E144" s="4" t="s">
        <v>1051</v>
      </c>
      <c r="F144">
        <v>8</v>
      </c>
      <c r="G144" s="4" t="s">
        <v>1073</v>
      </c>
      <c r="H144">
        <v>8</v>
      </c>
      <c r="I144">
        <v>0</v>
      </c>
      <c r="J144">
        <v>-8</v>
      </c>
      <c r="K144">
        <v>20.16</v>
      </c>
      <c r="L144">
        <v>0</v>
      </c>
      <c r="M144" s="4" t="s">
        <v>152</v>
      </c>
    </row>
    <row r="145" spans="1:13" x14ac:dyDescent="0.3">
      <c r="A145" s="4" t="s">
        <v>1208</v>
      </c>
      <c r="B145" s="4" t="s">
        <v>339</v>
      </c>
      <c r="C145" s="1">
        <v>45504</v>
      </c>
      <c r="D145" s="4" t="s">
        <v>1065</v>
      </c>
      <c r="E145" s="4" t="s">
        <v>1051</v>
      </c>
      <c r="F145">
        <v>8</v>
      </c>
      <c r="G145" s="4" t="s">
        <v>1052</v>
      </c>
      <c r="H145">
        <v>8</v>
      </c>
      <c r="I145">
        <v>8.18</v>
      </c>
      <c r="J145">
        <v>0.18</v>
      </c>
      <c r="K145">
        <v>17.690000000000001</v>
      </c>
      <c r="L145">
        <v>144.69999999999999</v>
      </c>
      <c r="M145" s="4" t="s">
        <v>152</v>
      </c>
    </row>
    <row r="146" spans="1:13" x14ac:dyDescent="0.3">
      <c r="A146" s="4" t="s">
        <v>1209</v>
      </c>
      <c r="B146" s="4" t="s">
        <v>772</v>
      </c>
      <c r="C146" s="1">
        <v>45478</v>
      </c>
      <c r="D146" s="4" t="s">
        <v>1065</v>
      </c>
      <c r="E146" s="4" t="s">
        <v>1051</v>
      </c>
      <c r="F146">
        <v>8</v>
      </c>
      <c r="G146" s="4" t="s">
        <v>1063</v>
      </c>
      <c r="H146">
        <v>8</v>
      </c>
      <c r="I146">
        <v>0</v>
      </c>
      <c r="J146">
        <v>-8</v>
      </c>
      <c r="K146">
        <v>27.33</v>
      </c>
      <c r="L146">
        <v>0</v>
      </c>
      <c r="M146" s="4" t="s">
        <v>25</v>
      </c>
    </row>
    <row r="147" spans="1:13" x14ac:dyDescent="0.3">
      <c r="A147" s="4" t="s">
        <v>1210</v>
      </c>
      <c r="B147" s="4" t="s">
        <v>728</v>
      </c>
      <c r="C147" s="1">
        <v>45539</v>
      </c>
      <c r="D147" s="4" t="s">
        <v>1057</v>
      </c>
      <c r="E147" s="4" t="s">
        <v>1055</v>
      </c>
      <c r="F147">
        <v>22</v>
      </c>
      <c r="G147" s="4" t="s">
        <v>1052</v>
      </c>
      <c r="H147">
        <v>8</v>
      </c>
      <c r="I147">
        <v>7.81</v>
      </c>
      <c r="J147">
        <v>-0.19</v>
      </c>
      <c r="K147">
        <v>14.79</v>
      </c>
      <c r="L147">
        <v>115.51</v>
      </c>
      <c r="M147" s="4" t="s">
        <v>25</v>
      </c>
    </row>
    <row r="148" spans="1:13" x14ac:dyDescent="0.3">
      <c r="A148" s="4" t="s">
        <v>1211</v>
      </c>
      <c r="B148" s="4" t="s">
        <v>744</v>
      </c>
      <c r="C148" s="1">
        <v>45502</v>
      </c>
      <c r="D148" s="4" t="s">
        <v>1065</v>
      </c>
      <c r="E148" s="4" t="s">
        <v>1055</v>
      </c>
      <c r="F148">
        <v>22</v>
      </c>
      <c r="G148" s="4" t="s">
        <v>1052</v>
      </c>
      <c r="H148">
        <v>8</v>
      </c>
      <c r="I148">
        <v>8.43</v>
      </c>
      <c r="J148">
        <v>0.43</v>
      </c>
      <c r="K148">
        <v>18.71</v>
      </c>
      <c r="L148">
        <v>157.72999999999999</v>
      </c>
      <c r="M148" s="4" t="s">
        <v>152</v>
      </c>
    </row>
    <row r="149" spans="1:13" x14ac:dyDescent="0.3">
      <c r="A149" s="4" t="s">
        <v>1212</v>
      </c>
      <c r="B149" s="4" t="s">
        <v>519</v>
      </c>
      <c r="C149" s="1">
        <v>45568</v>
      </c>
      <c r="D149" s="4" t="s">
        <v>1050</v>
      </c>
      <c r="E149" s="4" t="s">
        <v>1051</v>
      </c>
      <c r="F149">
        <v>8</v>
      </c>
      <c r="G149" s="4" t="s">
        <v>1052</v>
      </c>
      <c r="H149">
        <v>8</v>
      </c>
      <c r="I149">
        <v>7.97</v>
      </c>
      <c r="J149">
        <v>-0.03</v>
      </c>
      <c r="K149">
        <v>22.66</v>
      </c>
      <c r="L149">
        <v>180.6</v>
      </c>
      <c r="M149" s="4" t="s">
        <v>152</v>
      </c>
    </row>
    <row r="150" spans="1:13" x14ac:dyDescent="0.3">
      <c r="A150" s="4" t="s">
        <v>1213</v>
      </c>
      <c r="B150" s="4" t="s">
        <v>768</v>
      </c>
      <c r="C150" s="1">
        <v>45643</v>
      </c>
      <c r="D150" s="4" t="s">
        <v>1069</v>
      </c>
      <c r="E150" s="4" t="s">
        <v>1055</v>
      </c>
      <c r="F150">
        <v>22</v>
      </c>
      <c r="G150" s="4" t="s">
        <v>1052</v>
      </c>
      <c r="H150">
        <v>8</v>
      </c>
      <c r="I150">
        <v>8.1</v>
      </c>
      <c r="J150">
        <v>0.1</v>
      </c>
      <c r="K150">
        <v>21.99</v>
      </c>
      <c r="L150">
        <v>178.12</v>
      </c>
      <c r="M150" s="4" t="s">
        <v>25</v>
      </c>
    </row>
    <row r="151" spans="1:13" x14ac:dyDescent="0.3">
      <c r="A151" s="4" t="s">
        <v>1214</v>
      </c>
      <c r="B151" s="4" t="s">
        <v>190</v>
      </c>
      <c r="C151" s="1">
        <v>45529</v>
      </c>
      <c r="D151" s="4" t="s">
        <v>1054</v>
      </c>
      <c r="E151" s="4" t="s">
        <v>1066</v>
      </c>
      <c r="F151">
        <v>14</v>
      </c>
      <c r="G151" s="4" t="s">
        <v>1052</v>
      </c>
      <c r="H151">
        <v>8</v>
      </c>
      <c r="I151">
        <v>8.39</v>
      </c>
      <c r="J151">
        <v>0.39</v>
      </c>
      <c r="K151">
        <v>12.82</v>
      </c>
      <c r="L151">
        <v>107.56</v>
      </c>
      <c r="M151" s="4" t="s">
        <v>152</v>
      </c>
    </row>
    <row r="152" spans="1:13" x14ac:dyDescent="0.3">
      <c r="A152" s="4" t="s">
        <v>1215</v>
      </c>
      <c r="B152" s="4" t="s">
        <v>50</v>
      </c>
      <c r="C152" s="1">
        <v>45504</v>
      </c>
      <c r="D152" s="4" t="s">
        <v>1065</v>
      </c>
      <c r="E152" s="4" t="s">
        <v>1058</v>
      </c>
      <c r="F152">
        <v>6</v>
      </c>
      <c r="G152" s="4" t="s">
        <v>1073</v>
      </c>
      <c r="H152">
        <v>8</v>
      </c>
      <c r="I152">
        <v>0</v>
      </c>
      <c r="J152">
        <v>-8</v>
      </c>
      <c r="K152">
        <v>22.04</v>
      </c>
      <c r="L152">
        <v>0</v>
      </c>
      <c r="M152" s="4" t="s">
        <v>25</v>
      </c>
    </row>
    <row r="153" spans="1:13" x14ac:dyDescent="0.3">
      <c r="A153" s="4" t="s">
        <v>1216</v>
      </c>
      <c r="B153" s="4" t="s">
        <v>923</v>
      </c>
      <c r="C153" s="1">
        <v>45534</v>
      </c>
      <c r="D153" s="4" t="s">
        <v>1054</v>
      </c>
      <c r="E153" s="4" t="s">
        <v>1066</v>
      </c>
      <c r="F153">
        <v>14</v>
      </c>
      <c r="G153" s="4" t="s">
        <v>1073</v>
      </c>
      <c r="H153">
        <v>8</v>
      </c>
      <c r="I153">
        <v>0</v>
      </c>
      <c r="J153">
        <v>-8</v>
      </c>
      <c r="K153">
        <v>16.5</v>
      </c>
      <c r="L153">
        <v>0</v>
      </c>
      <c r="M153" s="4" t="s">
        <v>25</v>
      </c>
    </row>
    <row r="154" spans="1:13" x14ac:dyDescent="0.3">
      <c r="A154" s="4" t="s">
        <v>1217</v>
      </c>
      <c r="B154" s="4" t="s">
        <v>297</v>
      </c>
      <c r="C154" s="1">
        <v>45553</v>
      </c>
      <c r="D154" s="4" t="s">
        <v>1057</v>
      </c>
      <c r="E154" s="4" t="s">
        <v>1051</v>
      </c>
      <c r="F154">
        <v>8</v>
      </c>
      <c r="G154" s="4" t="s">
        <v>1052</v>
      </c>
      <c r="H154">
        <v>8</v>
      </c>
      <c r="I154">
        <v>8.0399999999999991</v>
      </c>
      <c r="J154">
        <v>0.04</v>
      </c>
      <c r="K154">
        <v>14.19</v>
      </c>
      <c r="L154">
        <v>114.09</v>
      </c>
      <c r="M154" s="4" t="s">
        <v>152</v>
      </c>
    </row>
    <row r="155" spans="1:13" x14ac:dyDescent="0.3">
      <c r="A155" s="4" t="s">
        <v>1218</v>
      </c>
      <c r="B155" s="4" t="s">
        <v>983</v>
      </c>
      <c r="C155" s="1">
        <v>45645</v>
      </c>
      <c r="D155" s="4" t="s">
        <v>1069</v>
      </c>
      <c r="E155" s="4" t="s">
        <v>1058</v>
      </c>
      <c r="F155">
        <v>6</v>
      </c>
      <c r="G155" s="4" t="s">
        <v>1073</v>
      </c>
      <c r="H155">
        <v>8</v>
      </c>
      <c r="I155">
        <v>0</v>
      </c>
      <c r="J155">
        <v>-8</v>
      </c>
      <c r="K155">
        <v>18.829999999999998</v>
      </c>
      <c r="L155">
        <v>0</v>
      </c>
      <c r="M155" s="4" t="s">
        <v>1071</v>
      </c>
    </row>
    <row r="156" spans="1:13" x14ac:dyDescent="0.3">
      <c r="A156" s="4" t="s">
        <v>1219</v>
      </c>
      <c r="B156" s="4" t="s">
        <v>903</v>
      </c>
      <c r="C156" s="1">
        <v>45537</v>
      </c>
      <c r="D156" s="4" t="s">
        <v>1057</v>
      </c>
      <c r="E156" s="4" t="s">
        <v>1051</v>
      </c>
      <c r="F156">
        <v>8</v>
      </c>
      <c r="G156" s="4" t="s">
        <v>1063</v>
      </c>
      <c r="H156">
        <v>8</v>
      </c>
      <c r="I156">
        <v>0</v>
      </c>
      <c r="J156">
        <v>-8</v>
      </c>
      <c r="K156">
        <v>10.71</v>
      </c>
      <c r="L156">
        <v>0</v>
      </c>
      <c r="M156" s="4" t="s">
        <v>152</v>
      </c>
    </row>
    <row r="157" spans="1:13" x14ac:dyDescent="0.3">
      <c r="A157" s="4" t="s">
        <v>1220</v>
      </c>
      <c r="B157" s="4" t="s">
        <v>502</v>
      </c>
      <c r="C157" s="1">
        <v>45634</v>
      </c>
      <c r="D157" s="4" t="s">
        <v>1069</v>
      </c>
      <c r="E157" s="4" t="s">
        <v>1058</v>
      </c>
      <c r="F157">
        <v>6</v>
      </c>
      <c r="G157" s="4" t="s">
        <v>1052</v>
      </c>
      <c r="H157">
        <v>8</v>
      </c>
      <c r="I157">
        <v>8.23</v>
      </c>
      <c r="J157">
        <v>0.23</v>
      </c>
      <c r="K157">
        <v>16.36</v>
      </c>
      <c r="L157">
        <v>134.63999999999999</v>
      </c>
      <c r="M157" s="4" t="s">
        <v>25</v>
      </c>
    </row>
    <row r="158" spans="1:13" x14ac:dyDescent="0.3">
      <c r="A158" s="4" t="s">
        <v>1221</v>
      </c>
      <c r="B158" s="4" t="s">
        <v>789</v>
      </c>
      <c r="C158" s="1">
        <v>45540</v>
      </c>
      <c r="D158" s="4" t="s">
        <v>1057</v>
      </c>
      <c r="E158" s="4" t="s">
        <v>1051</v>
      </c>
      <c r="F158">
        <v>8</v>
      </c>
      <c r="G158" s="4" t="s">
        <v>1052</v>
      </c>
      <c r="H158">
        <v>8</v>
      </c>
      <c r="I158">
        <v>8.26</v>
      </c>
      <c r="J158">
        <v>0.26</v>
      </c>
      <c r="K158">
        <v>19.600000000000001</v>
      </c>
      <c r="L158">
        <v>161.9</v>
      </c>
      <c r="M158" s="4" t="s">
        <v>25</v>
      </c>
    </row>
    <row r="159" spans="1:13" x14ac:dyDescent="0.3">
      <c r="A159" s="4" t="s">
        <v>1222</v>
      </c>
      <c r="B159" s="4" t="s">
        <v>40</v>
      </c>
      <c r="C159" s="1">
        <v>45641</v>
      </c>
      <c r="D159" s="4" t="s">
        <v>1069</v>
      </c>
      <c r="E159" s="4" t="s">
        <v>1058</v>
      </c>
      <c r="F159">
        <v>6</v>
      </c>
      <c r="G159" s="4" t="s">
        <v>1052</v>
      </c>
      <c r="H159">
        <v>8</v>
      </c>
      <c r="I159">
        <v>8.06</v>
      </c>
      <c r="J159">
        <v>0.06</v>
      </c>
      <c r="K159">
        <v>22.5</v>
      </c>
      <c r="L159">
        <v>181.35</v>
      </c>
      <c r="M159" s="4" t="s">
        <v>25</v>
      </c>
    </row>
    <row r="160" spans="1:13" x14ac:dyDescent="0.3">
      <c r="A160" s="4" t="s">
        <v>1223</v>
      </c>
      <c r="B160" s="4" t="s">
        <v>427</v>
      </c>
      <c r="C160" s="1">
        <v>45650</v>
      </c>
      <c r="D160" s="4" t="s">
        <v>1069</v>
      </c>
      <c r="E160" s="4" t="s">
        <v>1066</v>
      </c>
      <c r="F160">
        <v>14</v>
      </c>
      <c r="G160" s="4" t="s">
        <v>1052</v>
      </c>
      <c r="H160">
        <v>8</v>
      </c>
      <c r="I160">
        <v>8.2100000000000009</v>
      </c>
      <c r="J160">
        <v>0.21</v>
      </c>
      <c r="K160">
        <v>27.13</v>
      </c>
      <c r="L160">
        <v>222.74</v>
      </c>
      <c r="M160" s="4" t="s">
        <v>25</v>
      </c>
    </row>
    <row r="161" spans="1:13" x14ac:dyDescent="0.3">
      <c r="A161" s="4" t="s">
        <v>1224</v>
      </c>
      <c r="B161" s="4" t="s">
        <v>250</v>
      </c>
      <c r="C161" s="1">
        <v>45504</v>
      </c>
      <c r="D161" s="4" t="s">
        <v>1065</v>
      </c>
      <c r="E161" s="4" t="s">
        <v>1058</v>
      </c>
      <c r="F161">
        <v>6</v>
      </c>
      <c r="G161" s="4" t="s">
        <v>1073</v>
      </c>
      <c r="H161">
        <v>8</v>
      </c>
      <c r="I161">
        <v>0</v>
      </c>
      <c r="J161">
        <v>-8</v>
      </c>
      <c r="K161">
        <v>26.18</v>
      </c>
      <c r="L161">
        <v>0</v>
      </c>
      <c r="M161" s="4" t="s">
        <v>25</v>
      </c>
    </row>
    <row r="162" spans="1:13" x14ac:dyDescent="0.3">
      <c r="A162" s="4" t="s">
        <v>1225</v>
      </c>
      <c r="B162" s="4" t="s">
        <v>669</v>
      </c>
      <c r="C162" s="1">
        <v>45495</v>
      </c>
      <c r="D162" s="4" t="s">
        <v>1065</v>
      </c>
      <c r="E162" s="4" t="s">
        <v>1058</v>
      </c>
      <c r="F162">
        <v>6</v>
      </c>
      <c r="G162" s="4" t="s">
        <v>1060</v>
      </c>
      <c r="H162">
        <v>8</v>
      </c>
      <c r="I162">
        <v>5.65</v>
      </c>
      <c r="J162">
        <v>-2.35</v>
      </c>
      <c r="K162">
        <v>22.61</v>
      </c>
      <c r="L162">
        <v>127.75</v>
      </c>
      <c r="M162" s="4" t="s">
        <v>152</v>
      </c>
    </row>
    <row r="163" spans="1:13" x14ac:dyDescent="0.3">
      <c r="A163" s="4" t="s">
        <v>1226</v>
      </c>
      <c r="B163" s="4" t="s">
        <v>1007</v>
      </c>
      <c r="C163" s="1">
        <v>45588</v>
      </c>
      <c r="D163" s="4" t="s">
        <v>1050</v>
      </c>
      <c r="E163" s="4" t="s">
        <v>1058</v>
      </c>
      <c r="F163">
        <v>6</v>
      </c>
      <c r="G163" s="4" t="s">
        <v>1052</v>
      </c>
      <c r="H163">
        <v>8</v>
      </c>
      <c r="I163">
        <v>7.8</v>
      </c>
      <c r="J163">
        <v>-0.2</v>
      </c>
      <c r="K163">
        <v>27.93</v>
      </c>
      <c r="L163">
        <v>217.85</v>
      </c>
      <c r="M163" s="4" t="s">
        <v>152</v>
      </c>
    </row>
    <row r="164" spans="1:13" x14ac:dyDescent="0.3">
      <c r="A164" s="4" t="s">
        <v>1227</v>
      </c>
      <c r="B164" s="4" t="s">
        <v>159</v>
      </c>
      <c r="C164" s="1">
        <v>45607</v>
      </c>
      <c r="D164" s="4" t="s">
        <v>1062</v>
      </c>
      <c r="E164" s="4" t="s">
        <v>1051</v>
      </c>
      <c r="F164">
        <v>8</v>
      </c>
      <c r="G164" s="4" t="s">
        <v>1052</v>
      </c>
      <c r="H164">
        <v>8</v>
      </c>
      <c r="I164">
        <v>8.0399999999999991</v>
      </c>
      <c r="J164">
        <v>0.04</v>
      </c>
      <c r="K164">
        <v>13.02</v>
      </c>
      <c r="L164">
        <v>104.68</v>
      </c>
      <c r="M164" s="4" t="s">
        <v>152</v>
      </c>
    </row>
    <row r="165" spans="1:13" x14ac:dyDescent="0.3">
      <c r="A165" s="4" t="s">
        <v>1228</v>
      </c>
      <c r="B165" s="4" t="s">
        <v>861</v>
      </c>
      <c r="C165" s="1">
        <v>45545</v>
      </c>
      <c r="D165" s="4" t="s">
        <v>1057</v>
      </c>
      <c r="E165" s="4" t="s">
        <v>1058</v>
      </c>
      <c r="F165">
        <v>6</v>
      </c>
      <c r="G165" s="4" t="s">
        <v>1052</v>
      </c>
      <c r="H165">
        <v>8</v>
      </c>
      <c r="I165">
        <v>7.94</v>
      </c>
      <c r="J165">
        <v>-0.06</v>
      </c>
      <c r="K165">
        <v>11.73</v>
      </c>
      <c r="L165">
        <v>93.14</v>
      </c>
      <c r="M165" s="4" t="s">
        <v>152</v>
      </c>
    </row>
    <row r="166" spans="1:13" x14ac:dyDescent="0.3">
      <c r="A166" s="4" t="s">
        <v>1229</v>
      </c>
      <c r="B166" s="4" t="s">
        <v>59</v>
      </c>
      <c r="C166" s="1">
        <v>45620</v>
      </c>
      <c r="D166" s="4" t="s">
        <v>1062</v>
      </c>
      <c r="E166" s="4" t="s">
        <v>1051</v>
      </c>
      <c r="F166">
        <v>8</v>
      </c>
      <c r="G166" s="4" t="s">
        <v>1052</v>
      </c>
      <c r="H166">
        <v>8</v>
      </c>
      <c r="I166">
        <v>8.23</v>
      </c>
      <c r="J166">
        <v>0.23</v>
      </c>
      <c r="K166">
        <v>15.16</v>
      </c>
      <c r="L166">
        <v>124.77</v>
      </c>
      <c r="M166" s="4" t="s">
        <v>152</v>
      </c>
    </row>
    <row r="167" spans="1:13" x14ac:dyDescent="0.3">
      <c r="A167" s="4" t="s">
        <v>1230</v>
      </c>
      <c r="B167" s="4" t="s">
        <v>781</v>
      </c>
      <c r="C167" s="1">
        <v>45527</v>
      </c>
      <c r="D167" s="4" t="s">
        <v>1054</v>
      </c>
      <c r="E167" s="4" t="s">
        <v>1058</v>
      </c>
      <c r="F167">
        <v>6</v>
      </c>
      <c r="G167" s="4" t="s">
        <v>1052</v>
      </c>
      <c r="H167">
        <v>8</v>
      </c>
      <c r="I167">
        <v>8.4499999999999993</v>
      </c>
      <c r="J167">
        <v>0.45</v>
      </c>
      <c r="K167">
        <v>18.13</v>
      </c>
      <c r="L167">
        <v>153.19999999999999</v>
      </c>
      <c r="M167" s="4" t="s">
        <v>25</v>
      </c>
    </row>
    <row r="168" spans="1:13" x14ac:dyDescent="0.3">
      <c r="A168" s="4" t="s">
        <v>1231</v>
      </c>
      <c r="B168" s="4" t="s">
        <v>17</v>
      </c>
      <c r="C168" s="1">
        <v>45482</v>
      </c>
      <c r="D168" s="4" t="s">
        <v>1065</v>
      </c>
      <c r="E168" s="4" t="s">
        <v>1051</v>
      </c>
      <c r="F168">
        <v>8</v>
      </c>
      <c r="G168" s="4" t="s">
        <v>1052</v>
      </c>
      <c r="H168">
        <v>8</v>
      </c>
      <c r="I168">
        <v>8.33</v>
      </c>
      <c r="J168">
        <v>0.33</v>
      </c>
      <c r="K168">
        <v>16.34</v>
      </c>
      <c r="L168">
        <v>136.11000000000001</v>
      </c>
      <c r="M168" s="4" t="s">
        <v>152</v>
      </c>
    </row>
    <row r="169" spans="1:13" x14ac:dyDescent="0.3">
      <c r="A169" s="4" t="s">
        <v>1232</v>
      </c>
      <c r="B169" s="4" t="s">
        <v>562</v>
      </c>
      <c r="C169" s="1">
        <v>45638</v>
      </c>
      <c r="D169" s="4" t="s">
        <v>1069</v>
      </c>
      <c r="E169" s="4" t="s">
        <v>1055</v>
      </c>
      <c r="F169">
        <v>22</v>
      </c>
      <c r="G169" s="4" t="s">
        <v>1052</v>
      </c>
      <c r="H169">
        <v>8</v>
      </c>
      <c r="I169">
        <v>8.09</v>
      </c>
      <c r="J169">
        <v>0.09</v>
      </c>
      <c r="K169">
        <v>13.59</v>
      </c>
      <c r="L169">
        <v>109.94</v>
      </c>
      <c r="M169" s="4" t="s">
        <v>152</v>
      </c>
    </row>
    <row r="170" spans="1:13" x14ac:dyDescent="0.3">
      <c r="A170" s="4" t="s">
        <v>1233</v>
      </c>
      <c r="B170" s="4" t="s">
        <v>480</v>
      </c>
      <c r="C170" s="1">
        <v>45631</v>
      </c>
      <c r="D170" s="4" t="s">
        <v>1069</v>
      </c>
      <c r="E170" s="4" t="s">
        <v>1051</v>
      </c>
      <c r="F170">
        <v>8</v>
      </c>
      <c r="G170" s="4" t="s">
        <v>1052</v>
      </c>
      <c r="H170">
        <v>8</v>
      </c>
      <c r="I170">
        <v>8.27</v>
      </c>
      <c r="J170">
        <v>0.27</v>
      </c>
      <c r="K170">
        <v>25.99</v>
      </c>
      <c r="L170">
        <v>214.94</v>
      </c>
      <c r="M170" s="4" t="s">
        <v>25</v>
      </c>
    </row>
    <row r="171" spans="1:13" x14ac:dyDescent="0.3">
      <c r="A171" s="4" t="s">
        <v>1234</v>
      </c>
      <c r="B171" s="4" t="s">
        <v>354</v>
      </c>
      <c r="C171" s="1">
        <v>45507</v>
      </c>
      <c r="D171" s="4" t="s">
        <v>1054</v>
      </c>
      <c r="E171" s="4" t="s">
        <v>1058</v>
      </c>
      <c r="F171">
        <v>6</v>
      </c>
      <c r="G171" s="4" t="s">
        <v>1073</v>
      </c>
      <c r="H171">
        <v>8</v>
      </c>
      <c r="I171">
        <v>0</v>
      </c>
      <c r="J171">
        <v>-8</v>
      </c>
      <c r="K171">
        <v>11.6</v>
      </c>
      <c r="L171">
        <v>0</v>
      </c>
      <c r="M171" s="4" t="s">
        <v>152</v>
      </c>
    </row>
    <row r="172" spans="1:13" x14ac:dyDescent="0.3">
      <c r="A172" s="4" t="s">
        <v>1235</v>
      </c>
      <c r="B172" s="4" t="s">
        <v>653</v>
      </c>
      <c r="C172" s="1">
        <v>45649</v>
      </c>
      <c r="D172" s="4" t="s">
        <v>1069</v>
      </c>
      <c r="E172" s="4" t="s">
        <v>1058</v>
      </c>
      <c r="F172">
        <v>6</v>
      </c>
      <c r="G172" s="4" t="s">
        <v>1063</v>
      </c>
      <c r="H172">
        <v>8</v>
      </c>
      <c r="I172">
        <v>0</v>
      </c>
      <c r="J172">
        <v>-8</v>
      </c>
      <c r="K172">
        <v>24.29</v>
      </c>
      <c r="L172">
        <v>0</v>
      </c>
      <c r="M172" s="4" t="s">
        <v>152</v>
      </c>
    </row>
    <row r="173" spans="1:13" x14ac:dyDescent="0.3">
      <c r="A173" s="4" t="s">
        <v>1236</v>
      </c>
      <c r="B173" s="4" t="s">
        <v>899</v>
      </c>
      <c r="C173" s="1">
        <v>45510</v>
      </c>
      <c r="D173" s="4" t="s">
        <v>1054</v>
      </c>
      <c r="E173" s="4" t="s">
        <v>1066</v>
      </c>
      <c r="F173">
        <v>14</v>
      </c>
      <c r="G173" s="4" t="s">
        <v>1073</v>
      </c>
      <c r="H173">
        <v>8</v>
      </c>
      <c r="I173">
        <v>0</v>
      </c>
      <c r="J173">
        <v>-8</v>
      </c>
      <c r="K173">
        <v>23.37</v>
      </c>
      <c r="L173">
        <v>0</v>
      </c>
      <c r="M173" s="4" t="s">
        <v>25</v>
      </c>
    </row>
    <row r="174" spans="1:13" x14ac:dyDescent="0.3">
      <c r="A174" s="4" t="s">
        <v>1237</v>
      </c>
      <c r="B174" s="4" t="s">
        <v>833</v>
      </c>
      <c r="C174" s="1">
        <v>45596</v>
      </c>
      <c r="D174" s="4" t="s">
        <v>1050</v>
      </c>
      <c r="E174" s="4" t="s">
        <v>1058</v>
      </c>
      <c r="F174">
        <v>6</v>
      </c>
      <c r="G174" s="4" t="s">
        <v>1052</v>
      </c>
      <c r="H174">
        <v>8</v>
      </c>
      <c r="I174">
        <v>8.24</v>
      </c>
      <c r="J174">
        <v>0.24</v>
      </c>
      <c r="K174">
        <v>21.57</v>
      </c>
      <c r="L174">
        <v>177.74</v>
      </c>
      <c r="M174" s="4" t="s">
        <v>25</v>
      </c>
    </row>
    <row r="175" spans="1:13" x14ac:dyDescent="0.3">
      <c r="A175" s="4" t="s">
        <v>1238</v>
      </c>
      <c r="B175" s="4" t="s">
        <v>320</v>
      </c>
      <c r="C175" s="1">
        <v>45631</v>
      </c>
      <c r="D175" s="4" t="s">
        <v>1069</v>
      </c>
      <c r="E175" s="4" t="s">
        <v>1058</v>
      </c>
      <c r="F175">
        <v>6</v>
      </c>
      <c r="G175" s="4" t="s">
        <v>1052</v>
      </c>
      <c r="H175">
        <v>8</v>
      </c>
      <c r="I175">
        <v>8.1199999999999992</v>
      </c>
      <c r="J175">
        <v>0.12</v>
      </c>
      <c r="K175">
        <v>11.6</v>
      </c>
      <c r="L175">
        <v>94.19</v>
      </c>
      <c r="M175" s="4" t="s">
        <v>152</v>
      </c>
    </row>
    <row r="176" spans="1:13" x14ac:dyDescent="0.3">
      <c r="A176" s="4" t="s">
        <v>1239</v>
      </c>
      <c r="B176" s="4" t="s">
        <v>959</v>
      </c>
      <c r="C176" s="1">
        <v>45575</v>
      </c>
      <c r="D176" s="4" t="s">
        <v>1050</v>
      </c>
      <c r="E176" s="4" t="s">
        <v>1051</v>
      </c>
      <c r="F176">
        <v>8</v>
      </c>
      <c r="G176" s="4" t="s">
        <v>1052</v>
      </c>
      <c r="H176">
        <v>8</v>
      </c>
      <c r="I176">
        <v>8.48</v>
      </c>
      <c r="J176">
        <v>0.48</v>
      </c>
      <c r="K176">
        <v>16.13</v>
      </c>
      <c r="L176">
        <v>136.78</v>
      </c>
      <c r="M176" s="4" t="s">
        <v>25</v>
      </c>
    </row>
    <row r="177" spans="1:13" x14ac:dyDescent="0.3">
      <c r="A177" s="4" t="s">
        <v>1240</v>
      </c>
      <c r="B177" s="4" t="s">
        <v>801</v>
      </c>
      <c r="C177" s="1">
        <v>45573</v>
      </c>
      <c r="D177" s="4" t="s">
        <v>1050</v>
      </c>
      <c r="E177" s="4" t="s">
        <v>1066</v>
      </c>
      <c r="F177">
        <v>14</v>
      </c>
      <c r="G177" s="4" t="s">
        <v>1052</v>
      </c>
      <c r="H177">
        <v>8</v>
      </c>
      <c r="I177">
        <v>7.84</v>
      </c>
      <c r="J177">
        <v>-0.16</v>
      </c>
      <c r="K177">
        <v>13.44</v>
      </c>
      <c r="L177">
        <v>105.37</v>
      </c>
      <c r="M177" s="4" t="s">
        <v>1071</v>
      </c>
    </row>
    <row r="178" spans="1:13" x14ac:dyDescent="0.3">
      <c r="A178" s="4" t="s">
        <v>1241</v>
      </c>
      <c r="B178" s="4" t="s">
        <v>417</v>
      </c>
      <c r="C178" s="1">
        <v>45624</v>
      </c>
      <c r="D178" s="4" t="s">
        <v>1062</v>
      </c>
      <c r="E178" s="4" t="s">
        <v>1058</v>
      </c>
      <c r="F178">
        <v>6</v>
      </c>
      <c r="G178" s="4" t="s">
        <v>1052</v>
      </c>
      <c r="H178">
        <v>8</v>
      </c>
      <c r="I178">
        <v>8.34</v>
      </c>
      <c r="J178">
        <v>0.34</v>
      </c>
      <c r="K178">
        <v>24.11</v>
      </c>
      <c r="L178">
        <v>201.08</v>
      </c>
      <c r="M178" s="4" t="s">
        <v>152</v>
      </c>
    </row>
    <row r="179" spans="1:13" x14ac:dyDescent="0.3">
      <c r="A179" s="4" t="s">
        <v>1242</v>
      </c>
      <c r="B179" s="4" t="s">
        <v>330</v>
      </c>
      <c r="C179" s="1">
        <v>45478</v>
      </c>
      <c r="D179" s="4" t="s">
        <v>1065</v>
      </c>
      <c r="E179" s="4" t="s">
        <v>1058</v>
      </c>
      <c r="F179">
        <v>6</v>
      </c>
      <c r="G179" s="4" t="s">
        <v>1052</v>
      </c>
      <c r="H179">
        <v>8</v>
      </c>
      <c r="I179">
        <v>8.1999999999999993</v>
      </c>
      <c r="J179">
        <v>0.2</v>
      </c>
      <c r="K179">
        <v>22.64</v>
      </c>
      <c r="L179">
        <v>185.65</v>
      </c>
      <c r="M179" s="4" t="s">
        <v>152</v>
      </c>
    </row>
    <row r="180" spans="1:13" x14ac:dyDescent="0.3">
      <c r="A180" s="4" t="s">
        <v>1243</v>
      </c>
      <c r="B180" s="4" t="s">
        <v>368</v>
      </c>
      <c r="C180" s="1">
        <v>45495</v>
      </c>
      <c r="D180" s="4" t="s">
        <v>1065</v>
      </c>
      <c r="E180" s="4" t="s">
        <v>1066</v>
      </c>
      <c r="F180">
        <v>14</v>
      </c>
      <c r="G180" s="4" t="s">
        <v>1063</v>
      </c>
      <c r="H180">
        <v>8</v>
      </c>
      <c r="I180">
        <v>0</v>
      </c>
      <c r="J180">
        <v>-8</v>
      </c>
      <c r="K180">
        <v>17.71</v>
      </c>
      <c r="L180">
        <v>0</v>
      </c>
      <c r="M180" s="4" t="s">
        <v>25</v>
      </c>
    </row>
    <row r="181" spans="1:13" x14ac:dyDescent="0.3">
      <c r="A181" s="4" t="s">
        <v>1244</v>
      </c>
      <c r="B181" s="4" t="s">
        <v>939</v>
      </c>
      <c r="C181" s="1">
        <v>45502</v>
      </c>
      <c r="D181" s="4" t="s">
        <v>1065</v>
      </c>
      <c r="E181" s="4" t="s">
        <v>1051</v>
      </c>
      <c r="F181">
        <v>8</v>
      </c>
      <c r="G181" s="4" t="s">
        <v>1052</v>
      </c>
      <c r="H181">
        <v>8</v>
      </c>
      <c r="I181">
        <v>8.2200000000000006</v>
      </c>
      <c r="J181">
        <v>0.22</v>
      </c>
      <c r="K181">
        <v>17.829999999999998</v>
      </c>
      <c r="L181">
        <v>146.56</v>
      </c>
      <c r="M181" s="4" t="s">
        <v>25</v>
      </c>
    </row>
    <row r="182" spans="1:13" x14ac:dyDescent="0.3">
      <c r="A182" s="4" t="s">
        <v>1245</v>
      </c>
      <c r="B182" s="4" t="s">
        <v>732</v>
      </c>
      <c r="C182" s="1">
        <v>45500</v>
      </c>
      <c r="D182" s="4" t="s">
        <v>1065</v>
      </c>
      <c r="E182" s="4" t="s">
        <v>1058</v>
      </c>
      <c r="F182">
        <v>6</v>
      </c>
      <c r="G182" s="4" t="s">
        <v>1063</v>
      </c>
      <c r="H182">
        <v>8</v>
      </c>
      <c r="I182">
        <v>0</v>
      </c>
      <c r="J182">
        <v>-8</v>
      </c>
      <c r="K182">
        <v>18.62</v>
      </c>
      <c r="L182">
        <v>0</v>
      </c>
      <c r="M182" s="4" t="s">
        <v>25</v>
      </c>
    </row>
    <row r="183" spans="1:13" x14ac:dyDescent="0.3">
      <c r="A183" s="4" t="s">
        <v>1246</v>
      </c>
      <c r="B183" s="4" t="s">
        <v>354</v>
      </c>
      <c r="C183" s="1">
        <v>45620</v>
      </c>
      <c r="D183" s="4" t="s">
        <v>1062</v>
      </c>
      <c r="E183" s="4" t="s">
        <v>1058</v>
      </c>
      <c r="F183">
        <v>6</v>
      </c>
      <c r="G183" s="4" t="s">
        <v>1052</v>
      </c>
      <c r="H183">
        <v>8</v>
      </c>
      <c r="I183">
        <v>8.3800000000000008</v>
      </c>
      <c r="J183">
        <v>0.38</v>
      </c>
      <c r="K183">
        <v>13.59</v>
      </c>
      <c r="L183">
        <v>113.88</v>
      </c>
      <c r="M183" s="4" t="s">
        <v>25</v>
      </c>
    </row>
    <row r="184" spans="1:13" x14ac:dyDescent="0.3">
      <c r="A184" s="4" t="s">
        <v>1247</v>
      </c>
      <c r="B184" s="4" t="s">
        <v>463</v>
      </c>
      <c r="C184" s="1">
        <v>45547</v>
      </c>
      <c r="D184" s="4" t="s">
        <v>1057</v>
      </c>
      <c r="E184" s="4" t="s">
        <v>1066</v>
      </c>
      <c r="F184">
        <v>14</v>
      </c>
      <c r="G184" s="4" t="s">
        <v>1063</v>
      </c>
      <c r="H184">
        <v>8</v>
      </c>
      <c r="I184">
        <v>0</v>
      </c>
      <c r="J184">
        <v>-8</v>
      </c>
      <c r="K184">
        <v>11.26</v>
      </c>
      <c r="L184">
        <v>0</v>
      </c>
      <c r="M184" s="4" t="s">
        <v>25</v>
      </c>
    </row>
    <row r="185" spans="1:13" x14ac:dyDescent="0.3">
      <c r="A185" s="4" t="s">
        <v>1248</v>
      </c>
      <c r="B185" s="4" t="s">
        <v>330</v>
      </c>
      <c r="C185" s="1">
        <v>45651</v>
      </c>
      <c r="D185" s="4" t="s">
        <v>1069</v>
      </c>
      <c r="E185" s="4" t="s">
        <v>1066</v>
      </c>
      <c r="F185">
        <v>14</v>
      </c>
      <c r="G185" s="4" t="s">
        <v>1060</v>
      </c>
      <c r="H185">
        <v>8</v>
      </c>
      <c r="I185">
        <v>6.47</v>
      </c>
      <c r="J185">
        <v>-1.53</v>
      </c>
      <c r="K185">
        <v>23.12</v>
      </c>
      <c r="L185">
        <v>149.59</v>
      </c>
      <c r="M185" s="4" t="s">
        <v>152</v>
      </c>
    </row>
    <row r="186" spans="1:13" x14ac:dyDescent="0.3">
      <c r="A186" s="4" t="s">
        <v>1249</v>
      </c>
      <c r="B186" s="4" t="s">
        <v>970</v>
      </c>
      <c r="C186" s="1">
        <v>45600</v>
      </c>
      <c r="D186" s="4" t="s">
        <v>1062</v>
      </c>
      <c r="E186" s="4" t="s">
        <v>1055</v>
      </c>
      <c r="F186">
        <v>22</v>
      </c>
      <c r="G186" s="4" t="s">
        <v>1052</v>
      </c>
      <c r="H186">
        <v>8</v>
      </c>
      <c r="I186">
        <v>7.83</v>
      </c>
      <c r="J186">
        <v>-0.17</v>
      </c>
      <c r="K186">
        <v>14.65</v>
      </c>
      <c r="L186">
        <v>114.71</v>
      </c>
      <c r="M186" s="4" t="s">
        <v>25</v>
      </c>
    </row>
    <row r="187" spans="1:13" x14ac:dyDescent="0.3">
      <c r="A187" s="4" t="s">
        <v>1250</v>
      </c>
      <c r="B187" s="4" t="s">
        <v>384</v>
      </c>
      <c r="C187" s="1">
        <v>45538</v>
      </c>
      <c r="D187" s="4" t="s">
        <v>1057</v>
      </c>
      <c r="E187" s="4" t="s">
        <v>1058</v>
      </c>
      <c r="F187">
        <v>6</v>
      </c>
      <c r="G187" s="4" t="s">
        <v>1052</v>
      </c>
      <c r="H187">
        <v>8</v>
      </c>
      <c r="I187">
        <v>8.11</v>
      </c>
      <c r="J187">
        <v>0.11</v>
      </c>
      <c r="K187">
        <v>14.28</v>
      </c>
      <c r="L187">
        <v>115.81</v>
      </c>
      <c r="M187" s="4" t="s">
        <v>152</v>
      </c>
    </row>
    <row r="188" spans="1:13" x14ac:dyDescent="0.3">
      <c r="A188" s="4" t="s">
        <v>1251</v>
      </c>
      <c r="B188" s="4" t="s">
        <v>569</v>
      </c>
      <c r="C188" s="1">
        <v>45541</v>
      </c>
      <c r="D188" s="4" t="s">
        <v>1057</v>
      </c>
      <c r="E188" s="4" t="s">
        <v>1066</v>
      </c>
      <c r="F188">
        <v>14</v>
      </c>
      <c r="G188" s="4" t="s">
        <v>1052</v>
      </c>
      <c r="H188">
        <v>8</v>
      </c>
      <c r="I188">
        <v>7.9</v>
      </c>
      <c r="J188">
        <v>-0.1</v>
      </c>
      <c r="K188">
        <v>14.04</v>
      </c>
      <c r="L188">
        <v>110.92</v>
      </c>
      <c r="M188" s="4" t="s">
        <v>25</v>
      </c>
    </row>
    <row r="189" spans="1:13" x14ac:dyDescent="0.3">
      <c r="A189" s="4" t="s">
        <v>1252</v>
      </c>
      <c r="B189" s="4" t="s">
        <v>142</v>
      </c>
      <c r="C189" s="1">
        <v>45624</v>
      </c>
      <c r="D189" s="4" t="s">
        <v>1062</v>
      </c>
      <c r="E189" s="4" t="s">
        <v>1055</v>
      </c>
      <c r="F189">
        <v>22</v>
      </c>
      <c r="G189" s="4" t="s">
        <v>1052</v>
      </c>
      <c r="H189">
        <v>8</v>
      </c>
      <c r="I189">
        <v>8.39</v>
      </c>
      <c r="J189">
        <v>0.39</v>
      </c>
      <c r="K189">
        <v>13.5</v>
      </c>
      <c r="L189">
        <v>113.26</v>
      </c>
      <c r="M189" s="4" t="s">
        <v>25</v>
      </c>
    </row>
    <row r="190" spans="1:13" x14ac:dyDescent="0.3">
      <c r="A190" s="4" t="s">
        <v>1253</v>
      </c>
      <c r="B190" s="4" t="s">
        <v>817</v>
      </c>
      <c r="C190" s="1">
        <v>45495</v>
      </c>
      <c r="D190" s="4" t="s">
        <v>1065</v>
      </c>
      <c r="E190" s="4" t="s">
        <v>1066</v>
      </c>
      <c r="F190">
        <v>14</v>
      </c>
      <c r="G190" s="4" t="s">
        <v>1052</v>
      </c>
      <c r="H190">
        <v>8</v>
      </c>
      <c r="I190">
        <v>8.43</v>
      </c>
      <c r="J190">
        <v>0.43</v>
      </c>
      <c r="K190">
        <v>12.01</v>
      </c>
      <c r="L190">
        <v>101.24</v>
      </c>
      <c r="M190" s="4" t="s">
        <v>152</v>
      </c>
    </row>
    <row r="191" spans="1:13" x14ac:dyDescent="0.3">
      <c r="A191" s="4" t="s">
        <v>1254</v>
      </c>
      <c r="B191" s="4" t="s">
        <v>380</v>
      </c>
      <c r="C191" s="1">
        <v>45540</v>
      </c>
      <c r="D191" s="4" t="s">
        <v>1057</v>
      </c>
      <c r="E191" s="4" t="s">
        <v>1051</v>
      </c>
      <c r="F191">
        <v>8</v>
      </c>
      <c r="G191" s="4" t="s">
        <v>1063</v>
      </c>
      <c r="H191">
        <v>8</v>
      </c>
      <c r="I191">
        <v>0</v>
      </c>
      <c r="J191">
        <v>-8</v>
      </c>
      <c r="K191">
        <v>23.38</v>
      </c>
      <c r="L191">
        <v>0</v>
      </c>
      <c r="M191" s="4" t="s">
        <v>25</v>
      </c>
    </row>
    <row r="192" spans="1:13" x14ac:dyDescent="0.3">
      <c r="A192" s="4" t="s">
        <v>1255</v>
      </c>
      <c r="B192" s="4" t="s">
        <v>785</v>
      </c>
      <c r="C192" s="1">
        <v>45507</v>
      </c>
      <c r="D192" s="4" t="s">
        <v>1054</v>
      </c>
      <c r="E192" s="4" t="s">
        <v>1066</v>
      </c>
      <c r="F192">
        <v>14</v>
      </c>
      <c r="G192" s="4" t="s">
        <v>1073</v>
      </c>
      <c r="H192">
        <v>8</v>
      </c>
      <c r="I192">
        <v>0</v>
      </c>
      <c r="J192">
        <v>-8</v>
      </c>
      <c r="K192">
        <v>17.809999999999999</v>
      </c>
      <c r="L192">
        <v>0</v>
      </c>
      <c r="M192" s="4" t="s">
        <v>25</v>
      </c>
    </row>
    <row r="193" spans="1:13" x14ac:dyDescent="0.3">
      <c r="A193" s="4" t="s">
        <v>1256</v>
      </c>
      <c r="B193" s="4" t="s">
        <v>955</v>
      </c>
      <c r="C193" s="1">
        <v>45550</v>
      </c>
      <c r="D193" s="4" t="s">
        <v>1057</v>
      </c>
      <c r="E193" s="4" t="s">
        <v>1058</v>
      </c>
      <c r="F193">
        <v>6</v>
      </c>
      <c r="G193" s="4" t="s">
        <v>1052</v>
      </c>
      <c r="H193">
        <v>8</v>
      </c>
      <c r="I193">
        <v>8.0500000000000007</v>
      </c>
      <c r="J193">
        <v>0.05</v>
      </c>
      <c r="K193">
        <v>19.170000000000002</v>
      </c>
      <c r="L193">
        <v>154.32</v>
      </c>
      <c r="M193" s="4" t="s">
        <v>1071</v>
      </c>
    </row>
    <row r="194" spans="1:13" x14ac:dyDescent="0.3">
      <c r="A194" s="4" t="s">
        <v>1257</v>
      </c>
      <c r="B194" s="4" t="s">
        <v>915</v>
      </c>
      <c r="C194" s="1">
        <v>45603</v>
      </c>
      <c r="D194" s="4" t="s">
        <v>1062</v>
      </c>
      <c r="E194" s="4" t="s">
        <v>1051</v>
      </c>
      <c r="F194">
        <v>8</v>
      </c>
      <c r="G194" s="4" t="s">
        <v>1073</v>
      </c>
      <c r="H194">
        <v>8</v>
      </c>
      <c r="I194">
        <v>0</v>
      </c>
      <c r="J194">
        <v>-8</v>
      </c>
      <c r="K194">
        <v>14.68</v>
      </c>
      <c r="L194">
        <v>0</v>
      </c>
      <c r="M194" s="4" t="s">
        <v>25</v>
      </c>
    </row>
    <row r="195" spans="1:13" x14ac:dyDescent="0.3">
      <c r="A195" s="4" t="s">
        <v>1258</v>
      </c>
      <c r="B195" s="4" t="s">
        <v>494</v>
      </c>
      <c r="C195" s="1">
        <v>45478</v>
      </c>
      <c r="D195" s="4" t="s">
        <v>1065</v>
      </c>
      <c r="E195" s="4" t="s">
        <v>1066</v>
      </c>
      <c r="F195">
        <v>14</v>
      </c>
      <c r="G195" s="4" t="s">
        <v>1060</v>
      </c>
      <c r="H195">
        <v>8</v>
      </c>
      <c r="I195">
        <v>5.78</v>
      </c>
      <c r="J195">
        <v>-2.2200000000000002</v>
      </c>
      <c r="K195">
        <v>27.59</v>
      </c>
      <c r="L195">
        <v>159.47</v>
      </c>
      <c r="M195" s="4" t="s">
        <v>25</v>
      </c>
    </row>
    <row r="196" spans="1:13" x14ac:dyDescent="0.3">
      <c r="A196" s="4" t="s">
        <v>1259</v>
      </c>
      <c r="B196" s="4" t="s">
        <v>603</v>
      </c>
      <c r="C196" s="1">
        <v>45564</v>
      </c>
      <c r="D196" s="4" t="s">
        <v>1057</v>
      </c>
      <c r="E196" s="4" t="s">
        <v>1066</v>
      </c>
      <c r="F196">
        <v>14</v>
      </c>
      <c r="G196" s="4" t="s">
        <v>1052</v>
      </c>
      <c r="H196">
        <v>8</v>
      </c>
      <c r="I196">
        <v>8.1</v>
      </c>
      <c r="J196">
        <v>0.1</v>
      </c>
      <c r="K196">
        <v>17.239999999999998</v>
      </c>
      <c r="L196">
        <v>139.63999999999999</v>
      </c>
      <c r="M196" s="4" t="s">
        <v>152</v>
      </c>
    </row>
    <row r="197" spans="1:13" x14ac:dyDescent="0.3">
      <c r="A197" s="4" t="s">
        <v>1260</v>
      </c>
      <c r="B197" s="4" t="s">
        <v>475</v>
      </c>
      <c r="C197" s="1">
        <v>45589</v>
      </c>
      <c r="D197" s="4" t="s">
        <v>1050</v>
      </c>
      <c r="E197" s="4" t="s">
        <v>1051</v>
      </c>
      <c r="F197">
        <v>8</v>
      </c>
      <c r="G197" s="4" t="s">
        <v>1052</v>
      </c>
      <c r="H197">
        <v>8</v>
      </c>
      <c r="I197">
        <v>8.4600000000000009</v>
      </c>
      <c r="J197">
        <v>0.46</v>
      </c>
      <c r="K197">
        <v>24.28</v>
      </c>
      <c r="L197">
        <v>205.41</v>
      </c>
      <c r="M197" s="4" t="s">
        <v>152</v>
      </c>
    </row>
    <row r="198" spans="1:13" x14ac:dyDescent="0.3">
      <c r="A198" s="4" t="s">
        <v>1261</v>
      </c>
      <c r="B198" s="4" t="s">
        <v>136</v>
      </c>
      <c r="C198" s="1">
        <v>45645</v>
      </c>
      <c r="D198" s="4" t="s">
        <v>1069</v>
      </c>
      <c r="E198" s="4" t="s">
        <v>1055</v>
      </c>
      <c r="F198">
        <v>22</v>
      </c>
      <c r="G198" s="4" t="s">
        <v>1052</v>
      </c>
      <c r="H198">
        <v>8</v>
      </c>
      <c r="I198">
        <v>8.0399999999999991</v>
      </c>
      <c r="J198">
        <v>0.04</v>
      </c>
      <c r="K198">
        <v>16.899999999999999</v>
      </c>
      <c r="L198">
        <v>135.88</v>
      </c>
      <c r="M198" s="4" t="s">
        <v>1071</v>
      </c>
    </row>
    <row r="199" spans="1:13" x14ac:dyDescent="0.3">
      <c r="A199" s="4" t="s">
        <v>1262</v>
      </c>
      <c r="B199" s="4" t="s">
        <v>764</v>
      </c>
      <c r="C199" s="1">
        <v>45623</v>
      </c>
      <c r="D199" s="4" t="s">
        <v>1062</v>
      </c>
      <c r="E199" s="4" t="s">
        <v>1066</v>
      </c>
      <c r="F199">
        <v>14</v>
      </c>
      <c r="G199" s="4" t="s">
        <v>1063</v>
      </c>
      <c r="H199">
        <v>8</v>
      </c>
      <c r="I199">
        <v>0</v>
      </c>
      <c r="J199">
        <v>-8</v>
      </c>
      <c r="K199">
        <v>21.86</v>
      </c>
      <c r="L199">
        <v>0</v>
      </c>
      <c r="M199" s="4" t="s">
        <v>25</v>
      </c>
    </row>
    <row r="200" spans="1:13" x14ac:dyDescent="0.3">
      <c r="A200" s="4" t="s">
        <v>1263</v>
      </c>
      <c r="B200" s="4" t="s">
        <v>987</v>
      </c>
      <c r="C200" s="1">
        <v>45576</v>
      </c>
      <c r="D200" s="4" t="s">
        <v>1050</v>
      </c>
      <c r="E200" s="4" t="s">
        <v>1066</v>
      </c>
      <c r="F200">
        <v>14</v>
      </c>
      <c r="G200" s="4" t="s">
        <v>1063</v>
      </c>
      <c r="H200">
        <v>8</v>
      </c>
      <c r="I200">
        <v>0</v>
      </c>
      <c r="J200">
        <v>-8</v>
      </c>
      <c r="K200">
        <v>15.35</v>
      </c>
      <c r="L200">
        <v>0</v>
      </c>
      <c r="M200" s="4" t="s">
        <v>152</v>
      </c>
    </row>
    <row r="201" spans="1:13" x14ac:dyDescent="0.3">
      <c r="A201" s="4" t="s">
        <v>1264</v>
      </c>
      <c r="B201" s="4" t="s">
        <v>689</v>
      </c>
      <c r="C201" s="1">
        <v>45538</v>
      </c>
      <c r="D201" s="4" t="s">
        <v>1057</v>
      </c>
      <c r="E201" s="4" t="s">
        <v>1058</v>
      </c>
      <c r="F201">
        <v>6</v>
      </c>
      <c r="G201" s="4" t="s">
        <v>1052</v>
      </c>
      <c r="H201">
        <v>8</v>
      </c>
      <c r="I201">
        <v>8.15</v>
      </c>
      <c r="J201">
        <v>0.15</v>
      </c>
      <c r="K201">
        <v>18.41</v>
      </c>
      <c r="L201">
        <v>150.04</v>
      </c>
      <c r="M201" s="4" t="s">
        <v>25</v>
      </c>
    </row>
    <row r="202" spans="1:13" x14ac:dyDescent="0.3">
      <c r="A202" s="4" t="s">
        <v>1265</v>
      </c>
      <c r="B202" s="4" t="s">
        <v>661</v>
      </c>
      <c r="C202" s="1">
        <v>45638</v>
      </c>
      <c r="D202" s="4" t="s">
        <v>1069</v>
      </c>
      <c r="E202" s="4" t="s">
        <v>1058</v>
      </c>
      <c r="F202">
        <v>6</v>
      </c>
      <c r="G202" s="4" t="s">
        <v>1060</v>
      </c>
      <c r="H202">
        <v>8</v>
      </c>
      <c r="I202">
        <v>5.7</v>
      </c>
      <c r="J202">
        <v>-2.2999999999999998</v>
      </c>
      <c r="K202">
        <v>12.41</v>
      </c>
      <c r="L202">
        <v>70.739999999999995</v>
      </c>
      <c r="M202" s="4" t="s">
        <v>25</v>
      </c>
    </row>
    <row r="203" spans="1:13" x14ac:dyDescent="0.3">
      <c r="A203" s="4" t="s">
        <v>1266</v>
      </c>
      <c r="B203" s="4" t="s">
        <v>701</v>
      </c>
      <c r="C203" s="1">
        <v>45606</v>
      </c>
      <c r="D203" s="4" t="s">
        <v>1062</v>
      </c>
      <c r="E203" s="4" t="s">
        <v>1066</v>
      </c>
      <c r="F203">
        <v>14</v>
      </c>
      <c r="G203" s="4" t="s">
        <v>1052</v>
      </c>
      <c r="H203">
        <v>8</v>
      </c>
      <c r="I203">
        <v>8.4600000000000009</v>
      </c>
      <c r="J203">
        <v>0.46</v>
      </c>
      <c r="K203">
        <v>17.79</v>
      </c>
      <c r="L203">
        <v>150.5</v>
      </c>
      <c r="M203" s="4" t="s">
        <v>1071</v>
      </c>
    </row>
    <row r="204" spans="1:13" x14ac:dyDescent="0.3">
      <c r="A204" s="4" t="s">
        <v>1267</v>
      </c>
      <c r="B204" s="4" t="s">
        <v>677</v>
      </c>
      <c r="C204" s="1">
        <v>45551</v>
      </c>
      <c r="D204" s="4" t="s">
        <v>1057</v>
      </c>
      <c r="E204" s="4" t="s">
        <v>1055</v>
      </c>
      <c r="F204">
        <v>22</v>
      </c>
      <c r="G204" s="4" t="s">
        <v>1060</v>
      </c>
      <c r="H204">
        <v>8</v>
      </c>
      <c r="I204">
        <v>6.02</v>
      </c>
      <c r="J204">
        <v>-1.98</v>
      </c>
      <c r="K204">
        <v>13.81</v>
      </c>
      <c r="L204">
        <v>83.14</v>
      </c>
      <c r="M204" s="4" t="s">
        <v>25</v>
      </c>
    </row>
    <row r="205" spans="1:13" x14ac:dyDescent="0.3">
      <c r="A205" s="4" t="s">
        <v>1268</v>
      </c>
      <c r="B205" s="4" t="s">
        <v>724</v>
      </c>
      <c r="C205" s="1">
        <v>45553</v>
      </c>
      <c r="D205" s="4" t="s">
        <v>1057</v>
      </c>
      <c r="E205" s="4" t="s">
        <v>1055</v>
      </c>
      <c r="F205">
        <v>22</v>
      </c>
      <c r="G205" s="4" t="s">
        <v>1052</v>
      </c>
      <c r="H205">
        <v>8</v>
      </c>
      <c r="I205">
        <v>8.01</v>
      </c>
      <c r="J205">
        <v>0.01</v>
      </c>
      <c r="K205">
        <v>20.88</v>
      </c>
      <c r="L205">
        <v>167.25</v>
      </c>
      <c r="M205" s="4" t="s">
        <v>1071</v>
      </c>
    </row>
    <row r="206" spans="1:13" x14ac:dyDescent="0.3">
      <c r="A206" s="4" t="s">
        <v>1269</v>
      </c>
      <c r="B206" s="4" t="s">
        <v>645</v>
      </c>
      <c r="C206" s="1">
        <v>45581</v>
      </c>
      <c r="D206" s="4" t="s">
        <v>1050</v>
      </c>
      <c r="E206" s="4" t="s">
        <v>1051</v>
      </c>
      <c r="F206">
        <v>8</v>
      </c>
      <c r="G206" s="4" t="s">
        <v>1052</v>
      </c>
      <c r="H206">
        <v>8</v>
      </c>
      <c r="I206">
        <v>7.85</v>
      </c>
      <c r="J206">
        <v>-0.15</v>
      </c>
      <c r="K206">
        <v>24.31</v>
      </c>
      <c r="L206">
        <v>190.83</v>
      </c>
      <c r="M206" s="4" t="s">
        <v>152</v>
      </c>
    </row>
    <row r="207" spans="1:13" x14ac:dyDescent="0.3">
      <c r="A207" s="4" t="s">
        <v>1270</v>
      </c>
      <c r="B207" s="4" t="s">
        <v>467</v>
      </c>
      <c r="C207" s="1">
        <v>45621</v>
      </c>
      <c r="D207" s="4" t="s">
        <v>1062</v>
      </c>
      <c r="E207" s="4" t="s">
        <v>1058</v>
      </c>
      <c r="F207">
        <v>6</v>
      </c>
      <c r="G207" s="4" t="s">
        <v>1063</v>
      </c>
      <c r="H207">
        <v>8</v>
      </c>
      <c r="I207">
        <v>0</v>
      </c>
      <c r="J207">
        <v>-8</v>
      </c>
      <c r="K207">
        <v>27.23</v>
      </c>
      <c r="L207">
        <v>0</v>
      </c>
      <c r="M207" s="4" t="s">
        <v>25</v>
      </c>
    </row>
    <row r="208" spans="1:13" x14ac:dyDescent="0.3">
      <c r="A208" s="4" t="s">
        <v>1271</v>
      </c>
      <c r="B208" s="4" t="s">
        <v>467</v>
      </c>
      <c r="C208" s="1">
        <v>45614</v>
      </c>
      <c r="D208" s="4" t="s">
        <v>1062</v>
      </c>
      <c r="E208" s="4" t="s">
        <v>1066</v>
      </c>
      <c r="F208">
        <v>14</v>
      </c>
      <c r="G208" s="4" t="s">
        <v>1052</v>
      </c>
      <c r="H208">
        <v>8</v>
      </c>
      <c r="I208">
        <v>8.2799999999999994</v>
      </c>
      <c r="J208">
        <v>0.28000000000000003</v>
      </c>
      <c r="K208">
        <v>14.66</v>
      </c>
      <c r="L208">
        <v>121.38</v>
      </c>
      <c r="M208" s="4" t="s">
        <v>152</v>
      </c>
    </row>
    <row r="209" spans="1:13" x14ac:dyDescent="0.3">
      <c r="A209" s="4" t="s">
        <v>1272</v>
      </c>
      <c r="B209" s="4" t="s">
        <v>640</v>
      </c>
      <c r="C209" s="1">
        <v>45564</v>
      </c>
      <c r="D209" s="4" t="s">
        <v>1057</v>
      </c>
      <c r="E209" s="4" t="s">
        <v>1055</v>
      </c>
      <c r="F209">
        <v>22</v>
      </c>
      <c r="G209" s="4" t="s">
        <v>1073</v>
      </c>
      <c r="H209">
        <v>8</v>
      </c>
      <c r="I209">
        <v>0</v>
      </c>
      <c r="J209">
        <v>-8</v>
      </c>
      <c r="K209">
        <v>22.15</v>
      </c>
      <c r="L209">
        <v>0</v>
      </c>
      <c r="M209" s="4" t="s">
        <v>25</v>
      </c>
    </row>
    <row r="210" spans="1:13" x14ac:dyDescent="0.3">
      <c r="A210" s="4" t="s">
        <v>1273</v>
      </c>
      <c r="B210" s="4" t="s">
        <v>744</v>
      </c>
      <c r="C210" s="1">
        <v>45522</v>
      </c>
      <c r="D210" s="4" t="s">
        <v>1054</v>
      </c>
      <c r="E210" s="4" t="s">
        <v>1066</v>
      </c>
      <c r="F210">
        <v>14</v>
      </c>
      <c r="G210" s="4" t="s">
        <v>1063</v>
      </c>
      <c r="H210">
        <v>8</v>
      </c>
      <c r="I210">
        <v>0</v>
      </c>
      <c r="J210">
        <v>-8</v>
      </c>
      <c r="K210">
        <v>17.579999999999998</v>
      </c>
      <c r="L210">
        <v>0</v>
      </c>
      <c r="M210" s="4" t="s">
        <v>25</v>
      </c>
    </row>
    <row r="211" spans="1:13" x14ac:dyDescent="0.3">
      <c r="A211" s="4" t="s">
        <v>1274</v>
      </c>
      <c r="B211" s="4" t="s">
        <v>506</v>
      </c>
      <c r="C211" s="1">
        <v>45657</v>
      </c>
      <c r="D211" s="4" t="s">
        <v>1069</v>
      </c>
      <c r="E211" s="4" t="s">
        <v>1066</v>
      </c>
      <c r="F211">
        <v>14</v>
      </c>
      <c r="G211" s="4" t="s">
        <v>1052</v>
      </c>
      <c r="H211">
        <v>8</v>
      </c>
      <c r="I211">
        <v>8.16</v>
      </c>
      <c r="J211">
        <v>0.16</v>
      </c>
      <c r="K211">
        <v>21.83</v>
      </c>
      <c r="L211">
        <v>178.13</v>
      </c>
      <c r="M211" s="4" t="s">
        <v>152</v>
      </c>
    </row>
    <row r="212" spans="1:13" x14ac:dyDescent="0.3">
      <c r="A212" s="4" t="s">
        <v>1275</v>
      </c>
      <c r="B212" s="4" t="s">
        <v>983</v>
      </c>
      <c r="C212" s="1">
        <v>45514</v>
      </c>
      <c r="D212" s="4" t="s">
        <v>1054</v>
      </c>
      <c r="E212" s="4" t="s">
        <v>1066</v>
      </c>
      <c r="F212">
        <v>14</v>
      </c>
      <c r="G212" s="4" t="s">
        <v>1052</v>
      </c>
      <c r="H212">
        <v>8</v>
      </c>
      <c r="I212">
        <v>8.43</v>
      </c>
      <c r="J212">
        <v>0.43</v>
      </c>
      <c r="K212">
        <v>22.56</v>
      </c>
      <c r="L212">
        <v>190.18</v>
      </c>
      <c r="M212" s="4" t="s">
        <v>152</v>
      </c>
    </row>
    <row r="213" spans="1:13" x14ac:dyDescent="0.3">
      <c r="A213" s="4" t="s">
        <v>1276</v>
      </c>
      <c r="B213" s="4" t="s">
        <v>280</v>
      </c>
      <c r="C213" s="1">
        <v>45580</v>
      </c>
      <c r="D213" s="4" t="s">
        <v>1050</v>
      </c>
      <c r="E213" s="4" t="s">
        <v>1058</v>
      </c>
      <c r="F213">
        <v>6</v>
      </c>
      <c r="G213" s="4" t="s">
        <v>1052</v>
      </c>
      <c r="H213">
        <v>8</v>
      </c>
      <c r="I213">
        <v>8.0500000000000007</v>
      </c>
      <c r="J213">
        <v>0.05</v>
      </c>
      <c r="K213">
        <v>16.75</v>
      </c>
      <c r="L213">
        <v>134.84</v>
      </c>
      <c r="M213" s="4" t="s">
        <v>25</v>
      </c>
    </row>
    <row r="214" spans="1:13" x14ac:dyDescent="0.3">
      <c r="A214" s="4" t="s">
        <v>1277</v>
      </c>
      <c r="B214" s="4" t="s">
        <v>354</v>
      </c>
      <c r="C214" s="1">
        <v>45587</v>
      </c>
      <c r="D214" s="4" t="s">
        <v>1050</v>
      </c>
      <c r="E214" s="4" t="s">
        <v>1066</v>
      </c>
      <c r="F214">
        <v>14</v>
      </c>
      <c r="G214" s="4" t="s">
        <v>1073</v>
      </c>
      <c r="H214">
        <v>8</v>
      </c>
      <c r="I214">
        <v>0</v>
      </c>
      <c r="J214">
        <v>-8</v>
      </c>
      <c r="K214">
        <v>19.920000000000002</v>
      </c>
      <c r="L214">
        <v>0</v>
      </c>
      <c r="M214" s="4" t="s">
        <v>25</v>
      </c>
    </row>
    <row r="215" spans="1:13" x14ac:dyDescent="0.3">
      <c r="A215" s="4" t="s">
        <v>1278</v>
      </c>
      <c r="B215" s="4" t="s">
        <v>592</v>
      </c>
      <c r="C215" s="1">
        <v>45533</v>
      </c>
      <c r="D215" s="4" t="s">
        <v>1054</v>
      </c>
      <c r="E215" s="4" t="s">
        <v>1066</v>
      </c>
      <c r="F215">
        <v>14</v>
      </c>
      <c r="G215" s="4" t="s">
        <v>1063</v>
      </c>
      <c r="H215">
        <v>8</v>
      </c>
      <c r="I215">
        <v>0</v>
      </c>
      <c r="J215">
        <v>-8</v>
      </c>
      <c r="K215">
        <v>26.4</v>
      </c>
      <c r="L215">
        <v>0</v>
      </c>
      <c r="M215" s="4" t="s">
        <v>152</v>
      </c>
    </row>
    <row r="216" spans="1:13" x14ac:dyDescent="0.3">
      <c r="A216" s="4" t="s">
        <v>1279</v>
      </c>
      <c r="B216" s="4" t="s">
        <v>627</v>
      </c>
      <c r="C216" s="1">
        <v>45560</v>
      </c>
      <c r="D216" s="4" t="s">
        <v>1057</v>
      </c>
      <c r="E216" s="4" t="s">
        <v>1055</v>
      </c>
      <c r="F216">
        <v>22</v>
      </c>
      <c r="G216" s="4" t="s">
        <v>1063</v>
      </c>
      <c r="H216">
        <v>8</v>
      </c>
      <c r="I216">
        <v>0</v>
      </c>
      <c r="J216">
        <v>-8</v>
      </c>
      <c r="K216">
        <v>16.54</v>
      </c>
      <c r="L216">
        <v>0</v>
      </c>
      <c r="M216" s="4" t="s">
        <v>152</v>
      </c>
    </row>
    <row r="217" spans="1:13" x14ac:dyDescent="0.3">
      <c r="A217" s="4" t="s">
        <v>1280</v>
      </c>
      <c r="B217" s="4" t="s">
        <v>196</v>
      </c>
      <c r="C217" s="1">
        <v>45545</v>
      </c>
      <c r="D217" s="4" t="s">
        <v>1057</v>
      </c>
      <c r="E217" s="4" t="s">
        <v>1066</v>
      </c>
      <c r="F217">
        <v>14</v>
      </c>
      <c r="G217" s="4" t="s">
        <v>1052</v>
      </c>
      <c r="H217">
        <v>8</v>
      </c>
      <c r="I217">
        <v>8.49</v>
      </c>
      <c r="J217">
        <v>0.49</v>
      </c>
      <c r="K217">
        <v>13.37</v>
      </c>
      <c r="L217">
        <v>113.51</v>
      </c>
      <c r="M217" s="4" t="s">
        <v>152</v>
      </c>
    </row>
    <row r="218" spans="1:13" x14ac:dyDescent="0.3">
      <c r="A218" s="4" t="s">
        <v>1281</v>
      </c>
      <c r="B218" s="4" t="s">
        <v>615</v>
      </c>
      <c r="C218" s="1">
        <v>45508</v>
      </c>
      <c r="D218" s="4" t="s">
        <v>1054</v>
      </c>
      <c r="E218" s="4" t="s">
        <v>1066</v>
      </c>
      <c r="F218">
        <v>14</v>
      </c>
      <c r="G218" s="4" t="s">
        <v>1052</v>
      </c>
      <c r="H218">
        <v>8</v>
      </c>
      <c r="I218">
        <v>7.81</v>
      </c>
      <c r="J218">
        <v>-0.19</v>
      </c>
      <c r="K218">
        <v>18.809999999999999</v>
      </c>
      <c r="L218">
        <v>146.91</v>
      </c>
      <c r="M218" s="4" t="s">
        <v>152</v>
      </c>
    </row>
    <row r="219" spans="1:13" x14ac:dyDescent="0.3">
      <c r="A219" s="4" t="s">
        <v>1282</v>
      </c>
      <c r="B219" s="4" t="s">
        <v>196</v>
      </c>
      <c r="C219" s="1">
        <v>45554</v>
      </c>
      <c r="D219" s="4" t="s">
        <v>1057</v>
      </c>
      <c r="E219" s="4" t="s">
        <v>1058</v>
      </c>
      <c r="F219">
        <v>6</v>
      </c>
      <c r="G219" s="4" t="s">
        <v>1052</v>
      </c>
      <c r="H219">
        <v>8</v>
      </c>
      <c r="I219">
        <v>8.44</v>
      </c>
      <c r="J219">
        <v>0.44</v>
      </c>
      <c r="K219">
        <v>20.23</v>
      </c>
      <c r="L219">
        <v>170.74</v>
      </c>
      <c r="M219" s="4" t="s">
        <v>25</v>
      </c>
    </row>
    <row r="220" spans="1:13" x14ac:dyDescent="0.3">
      <c r="A220" s="4" t="s">
        <v>1283</v>
      </c>
      <c r="B220" s="4" t="s">
        <v>576</v>
      </c>
      <c r="C220" s="1">
        <v>45517</v>
      </c>
      <c r="D220" s="4" t="s">
        <v>1054</v>
      </c>
      <c r="E220" s="4" t="s">
        <v>1055</v>
      </c>
      <c r="F220">
        <v>22</v>
      </c>
      <c r="G220" s="4" t="s">
        <v>1060</v>
      </c>
      <c r="H220">
        <v>8</v>
      </c>
      <c r="I220">
        <v>7.42</v>
      </c>
      <c r="J220">
        <v>-0.57999999999999996</v>
      </c>
      <c r="K220">
        <v>19.149999999999999</v>
      </c>
      <c r="L220">
        <v>142.09</v>
      </c>
      <c r="M220" s="4" t="s">
        <v>152</v>
      </c>
    </row>
    <row r="221" spans="1:13" x14ac:dyDescent="0.3">
      <c r="A221" s="4" t="s">
        <v>1284</v>
      </c>
      <c r="B221" s="4" t="s">
        <v>1019</v>
      </c>
      <c r="C221" s="1">
        <v>45619</v>
      </c>
      <c r="D221" s="4" t="s">
        <v>1062</v>
      </c>
      <c r="E221" s="4" t="s">
        <v>1058</v>
      </c>
      <c r="F221">
        <v>6</v>
      </c>
      <c r="G221" s="4" t="s">
        <v>1063</v>
      </c>
      <c r="H221">
        <v>8</v>
      </c>
      <c r="I221">
        <v>0</v>
      </c>
      <c r="J221">
        <v>-8</v>
      </c>
      <c r="K221">
        <v>12.67</v>
      </c>
      <c r="L221">
        <v>0</v>
      </c>
      <c r="M221" s="4" t="s">
        <v>152</v>
      </c>
    </row>
    <row r="222" spans="1:13" x14ac:dyDescent="0.3">
      <c r="A222" s="4" t="s">
        <v>1285</v>
      </c>
      <c r="B222" s="4" t="s">
        <v>693</v>
      </c>
      <c r="C222" s="1">
        <v>45651</v>
      </c>
      <c r="D222" s="4" t="s">
        <v>1069</v>
      </c>
      <c r="E222" s="4" t="s">
        <v>1066</v>
      </c>
      <c r="F222">
        <v>14</v>
      </c>
      <c r="G222" s="4" t="s">
        <v>1052</v>
      </c>
      <c r="H222">
        <v>8</v>
      </c>
      <c r="I222">
        <v>8.32</v>
      </c>
      <c r="J222">
        <v>0.32</v>
      </c>
      <c r="K222">
        <v>20.98</v>
      </c>
      <c r="L222">
        <v>174.55</v>
      </c>
      <c r="M222" s="4" t="s">
        <v>152</v>
      </c>
    </row>
    <row r="223" spans="1:13" x14ac:dyDescent="0.3">
      <c r="A223" s="4" t="s">
        <v>1286</v>
      </c>
      <c r="B223" s="4" t="s">
        <v>437</v>
      </c>
      <c r="C223" s="1">
        <v>45481</v>
      </c>
      <c r="D223" s="4" t="s">
        <v>1065</v>
      </c>
      <c r="E223" s="4" t="s">
        <v>1051</v>
      </c>
      <c r="F223">
        <v>8</v>
      </c>
      <c r="G223" s="4" t="s">
        <v>1052</v>
      </c>
      <c r="H223">
        <v>8</v>
      </c>
      <c r="I223">
        <v>7.84</v>
      </c>
      <c r="J223">
        <v>-0.16</v>
      </c>
      <c r="K223">
        <v>25.29</v>
      </c>
      <c r="L223">
        <v>198.27</v>
      </c>
      <c r="M223" s="4" t="s">
        <v>25</v>
      </c>
    </row>
    <row r="224" spans="1:13" x14ac:dyDescent="0.3">
      <c r="A224" s="4" t="s">
        <v>1287</v>
      </c>
      <c r="B224" s="4" t="s">
        <v>665</v>
      </c>
      <c r="C224" s="1">
        <v>45567</v>
      </c>
      <c r="D224" s="4" t="s">
        <v>1050</v>
      </c>
      <c r="E224" s="4" t="s">
        <v>1066</v>
      </c>
      <c r="F224">
        <v>14</v>
      </c>
      <c r="G224" s="4" t="s">
        <v>1073</v>
      </c>
      <c r="H224">
        <v>8</v>
      </c>
      <c r="I224">
        <v>0</v>
      </c>
      <c r="J224">
        <v>-8</v>
      </c>
      <c r="K224">
        <v>16.82</v>
      </c>
      <c r="L224">
        <v>0</v>
      </c>
      <c r="M224" s="4" t="s">
        <v>152</v>
      </c>
    </row>
    <row r="225" spans="1:13" x14ac:dyDescent="0.3">
      <c r="A225" s="4" t="s">
        <v>1288</v>
      </c>
      <c r="B225" s="4" t="s">
        <v>732</v>
      </c>
      <c r="C225" s="1">
        <v>45527</v>
      </c>
      <c r="D225" s="4" t="s">
        <v>1054</v>
      </c>
      <c r="E225" s="4" t="s">
        <v>1058</v>
      </c>
      <c r="F225">
        <v>6</v>
      </c>
      <c r="G225" s="4" t="s">
        <v>1073</v>
      </c>
      <c r="H225">
        <v>8</v>
      </c>
      <c r="I225">
        <v>0</v>
      </c>
      <c r="J225">
        <v>-8</v>
      </c>
      <c r="K225">
        <v>20.98</v>
      </c>
      <c r="L225">
        <v>0</v>
      </c>
      <c r="M225" s="4" t="s">
        <v>1071</v>
      </c>
    </row>
    <row r="226" spans="1:13" x14ac:dyDescent="0.3">
      <c r="A226" s="4" t="s">
        <v>1289</v>
      </c>
      <c r="B226" s="4" t="s">
        <v>502</v>
      </c>
      <c r="C226" s="1">
        <v>45589</v>
      </c>
      <c r="D226" s="4" t="s">
        <v>1050</v>
      </c>
      <c r="E226" s="4" t="s">
        <v>1055</v>
      </c>
      <c r="F226">
        <v>22</v>
      </c>
      <c r="G226" s="4" t="s">
        <v>1052</v>
      </c>
      <c r="H226">
        <v>8</v>
      </c>
      <c r="I226">
        <v>8.27</v>
      </c>
      <c r="J226">
        <v>0.27</v>
      </c>
      <c r="K226">
        <v>19.850000000000001</v>
      </c>
      <c r="L226">
        <v>164.16</v>
      </c>
      <c r="M226" s="4" t="s">
        <v>25</v>
      </c>
    </row>
    <row r="227" spans="1:13" x14ac:dyDescent="0.3">
      <c r="A227" s="4" t="s">
        <v>1290</v>
      </c>
      <c r="B227" s="4" t="s">
        <v>569</v>
      </c>
      <c r="C227" s="1">
        <v>45553</v>
      </c>
      <c r="D227" s="4" t="s">
        <v>1057</v>
      </c>
      <c r="E227" s="4" t="s">
        <v>1051</v>
      </c>
      <c r="F227">
        <v>8</v>
      </c>
      <c r="G227" s="4" t="s">
        <v>1063</v>
      </c>
      <c r="H227">
        <v>8</v>
      </c>
      <c r="I227">
        <v>0</v>
      </c>
      <c r="J227">
        <v>-8</v>
      </c>
      <c r="K227">
        <v>14.31</v>
      </c>
      <c r="L227">
        <v>0</v>
      </c>
      <c r="M227" s="4" t="s">
        <v>25</v>
      </c>
    </row>
    <row r="228" spans="1:13" x14ac:dyDescent="0.3">
      <c r="A228" s="4" t="s">
        <v>1291</v>
      </c>
      <c r="B228" s="4" t="s">
        <v>1023</v>
      </c>
      <c r="C228" s="1">
        <v>45552</v>
      </c>
      <c r="D228" s="4" t="s">
        <v>1057</v>
      </c>
      <c r="E228" s="4" t="s">
        <v>1058</v>
      </c>
      <c r="F228">
        <v>6</v>
      </c>
      <c r="G228" s="4" t="s">
        <v>1060</v>
      </c>
      <c r="H228">
        <v>8</v>
      </c>
      <c r="I228">
        <v>5.67</v>
      </c>
      <c r="J228">
        <v>-2.33</v>
      </c>
      <c r="K228">
        <v>26.66</v>
      </c>
      <c r="L228">
        <v>151.16</v>
      </c>
      <c r="M228" s="4" t="s">
        <v>152</v>
      </c>
    </row>
    <row r="229" spans="1:13" x14ac:dyDescent="0.3">
      <c r="A229" s="4" t="s">
        <v>1292</v>
      </c>
      <c r="B229" s="4" t="s">
        <v>558</v>
      </c>
      <c r="C229" s="1">
        <v>45545</v>
      </c>
      <c r="D229" s="4" t="s">
        <v>1057</v>
      </c>
      <c r="E229" s="4" t="s">
        <v>1066</v>
      </c>
      <c r="F229">
        <v>14</v>
      </c>
      <c r="G229" s="4" t="s">
        <v>1052</v>
      </c>
      <c r="H229">
        <v>8</v>
      </c>
      <c r="I229">
        <v>8.14</v>
      </c>
      <c r="J229">
        <v>0.14000000000000001</v>
      </c>
      <c r="K229">
        <v>22.92</v>
      </c>
      <c r="L229">
        <v>186.57</v>
      </c>
      <c r="M229" s="4" t="s">
        <v>25</v>
      </c>
    </row>
    <row r="230" spans="1:13" x14ac:dyDescent="0.3">
      <c r="A230" s="4" t="s">
        <v>1293</v>
      </c>
      <c r="B230" s="4" t="s">
        <v>915</v>
      </c>
      <c r="C230" s="1">
        <v>45482</v>
      </c>
      <c r="D230" s="4" t="s">
        <v>1065</v>
      </c>
      <c r="E230" s="4" t="s">
        <v>1066</v>
      </c>
      <c r="F230">
        <v>14</v>
      </c>
      <c r="G230" s="4" t="s">
        <v>1073</v>
      </c>
      <c r="H230">
        <v>8</v>
      </c>
      <c r="I230">
        <v>0</v>
      </c>
      <c r="J230">
        <v>-8</v>
      </c>
      <c r="K230">
        <v>14.17</v>
      </c>
      <c r="L230">
        <v>0</v>
      </c>
      <c r="M230" s="4" t="s">
        <v>152</v>
      </c>
    </row>
    <row r="231" spans="1:13" x14ac:dyDescent="0.3">
      <c r="A231" s="4" t="s">
        <v>1294</v>
      </c>
      <c r="B231" s="4" t="s">
        <v>1011</v>
      </c>
      <c r="C231" s="1">
        <v>45639</v>
      </c>
      <c r="D231" s="4" t="s">
        <v>1069</v>
      </c>
      <c r="E231" s="4" t="s">
        <v>1058</v>
      </c>
      <c r="F231">
        <v>6</v>
      </c>
      <c r="G231" s="4" t="s">
        <v>1052</v>
      </c>
      <c r="H231">
        <v>8</v>
      </c>
      <c r="I231">
        <v>8.33</v>
      </c>
      <c r="J231">
        <v>0.33</v>
      </c>
      <c r="K231">
        <v>13.94</v>
      </c>
      <c r="L231">
        <v>116.12</v>
      </c>
      <c r="M231" s="4" t="s">
        <v>1071</v>
      </c>
    </row>
    <row r="232" spans="1:13" x14ac:dyDescent="0.3">
      <c r="A232" s="4" t="s">
        <v>1295</v>
      </c>
      <c r="B232" s="4" t="s">
        <v>673</v>
      </c>
      <c r="C232" s="1">
        <v>45594</v>
      </c>
      <c r="D232" s="4" t="s">
        <v>1050</v>
      </c>
      <c r="E232" s="4" t="s">
        <v>1058</v>
      </c>
      <c r="F232">
        <v>6</v>
      </c>
      <c r="G232" s="4" t="s">
        <v>1052</v>
      </c>
      <c r="H232">
        <v>8</v>
      </c>
      <c r="I232">
        <v>7.8</v>
      </c>
      <c r="J232">
        <v>-0.2</v>
      </c>
      <c r="K232">
        <v>24.19</v>
      </c>
      <c r="L232">
        <v>188.68</v>
      </c>
      <c r="M232" s="4" t="s">
        <v>25</v>
      </c>
    </row>
    <row r="233" spans="1:13" x14ac:dyDescent="0.3">
      <c r="A233" s="4" t="s">
        <v>1296</v>
      </c>
      <c r="B233" s="4" t="s">
        <v>364</v>
      </c>
      <c r="C233" s="1">
        <v>45487</v>
      </c>
      <c r="D233" s="4" t="s">
        <v>1065</v>
      </c>
      <c r="E233" s="4" t="s">
        <v>1066</v>
      </c>
      <c r="F233">
        <v>14</v>
      </c>
      <c r="G233" s="4" t="s">
        <v>1063</v>
      </c>
      <c r="H233">
        <v>8</v>
      </c>
      <c r="I233">
        <v>0</v>
      </c>
      <c r="J233">
        <v>-8</v>
      </c>
      <c r="K233">
        <v>13.05</v>
      </c>
      <c r="L233">
        <v>0</v>
      </c>
      <c r="M233" s="4" t="s">
        <v>152</v>
      </c>
    </row>
    <row r="234" spans="1:13" x14ac:dyDescent="0.3">
      <c r="A234" s="4" t="s">
        <v>1297</v>
      </c>
      <c r="B234" s="4" t="s">
        <v>540</v>
      </c>
      <c r="C234" s="1">
        <v>45617</v>
      </c>
      <c r="D234" s="4" t="s">
        <v>1062</v>
      </c>
      <c r="E234" s="4" t="s">
        <v>1055</v>
      </c>
      <c r="F234">
        <v>22</v>
      </c>
      <c r="G234" s="4" t="s">
        <v>1052</v>
      </c>
      <c r="H234">
        <v>8</v>
      </c>
      <c r="I234">
        <v>8.1300000000000008</v>
      </c>
      <c r="J234">
        <v>0.13</v>
      </c>
      <c r="K234">
        <v>19.34</v>
      </c>
      <c r="L234">
        <v>157.22999999999999</v>
      </c>
      <c r="M234" s="4" t="s">
        <v>25</v>
      </c>
    </row>
    <row r="235" spans="1:13" x14ac:dyDescent="0.3">
      <c r="A235" s="4" t="s">
        <v>1298</v>
      </c>
      <c r="B235" s="4" t="s">
        <v>991</v>
      </c>
      <c r="C235" s="1">
        <v>45523</v>
      </c>
      <c r="D235" s="4" t="s">
        <v>1054</v>
      </c>
      <c r="E235" s="4" t="s">
        <v>1058</v>
      </c>
      <c r="F235">
        <v>6</v>
      </c>
      <c r="G235" s="4" t="s">
        <v>1073</v>
      </c>
      <c r="H235">
        <v>8</v>
      </c>
      <c r="I235">
        <v>0</v>
      </c>
      <c r="J235">
        <v>-8</v>
      </c>
      <c r="K235">
        <v>13.51</v>
      </c>
      <c r="L235">
        <v>0</v>
      </c>
      <c r="M235" s="4" t="s">
        <v>1071</v>
      </c>
    </row>
    <row r="236" spans="1:13" x14ac:dyDescent="0.3">
      <c r="A236" s="4" t="s">
        <v>1299</v>
      </c>
      <c r="B236" s="4" t="s">
        <v>376</v>
      </c>
      <c r="C236" s="1">
        <v>45565</v>
      </c>
      <c r="D236" s="4" t="s">
        <v>1057</v>
      </c>
      <c r="E236" s="4" t="s">
        <v>1051</v>
      </c>
      <c r="F236">
        <v>8</v>
      </c>
      <c r="G236" s="4" t="s">
        <v>1052</v>
      </c>
      <c r="H236">
        <v>8</v>
      </c>
      <c r="I236">
        <v>8.19</v>
      </c>
      <c r="J236">
        <v>0.19</v>
      </c>
      <c r="K236">
        <v>13.66</v>
      </c>
      <c r="L236">
        <v>111.88</v>
      </c>
      <c r="M236" s="4" t="s">
        <v>152</v>
      </c>
    </row>
    <row r="237" spans="1:13" x14ac:dyDescent="0.3">
      <c r="A237" s="4" t="s">
        <v>1300</v>
      </c>
      <c r="B237" s="4" t="s">
        <v>716</v>
      </c>
      <c r="C237" s="1">
        <v>45554</v>
      </c>
      <c r="D237" s="4" t="s">
        <v>1057</v>
      </c>
      <c r="E237" s="4" t="s">
        <v>1066</v>
      </c>
      <c r="F237">
        <v>14</v>
      </c>
      <c r="G237" s="4" t="s">
        <v>1052</v>
      </c>
      <c r="H237">
        <v>8</v>
      </c>
      <c r="I237">
        <v>8.32</v>
      </c>
      <c r="J237">
        <v>0.32</v>
      </c>
      <c r="K237">
        <v>18.649999999999999</v>
      </c>
      <c r="L237">
        <v>155.16999999999999</v>
      </c>
      <c r="M237" s="4" t="s">
        <v>25</v>
      </c>
    </row>
    <row r="238" spans="1:13" x14ac:dyDescent="0.3">
      <c r="A238" s="4" t="s">
        <v>1301</v>
      </c>
      <c r="B238" s="4" t="s">
        <v>558</v>
      </c>
      <c r="C238" s="1">
        <v>45516</v>
      </c>
      <c r="D238" s="4" t="s">
        <v>1054</v>
      </c>
      <c r="E238" s="4" t="s">
        <v>1055</v>
      </c>
      <c r="F238">
        <v>22</v>
      </c>
      <c r="G238" s="4" t="s">
        <v>1052</v>
      </c>
      <c r="H238">
        <v>8</v>
      </c>
      <c r="I238">
        <v>7.78</v>
      </c>
      <c r="J238">
        <v>-0.22</v>
      </c>
      <c r="K238">
        <v>12.53</v>
      </c>
      <c r="L238">
        <v>97.48</v>
      </c>
      <c r="M238" s="4" t="s">
        <v>152</v>
      </c>
    </row>
    <row r="239" spans="1:13" x14ac:dyDescent="0.3">
      <c r="A239" s="4" t="s">
        <v>1302</v>
      </c>
      <c r="B239" s="4" t="s">
        <v>498</v>
      </c>
      <c r="C239" s="1">
        <v>45601</v>
      </c>
      <c r="D239" s="4" t="s">
        <v>1062</v>
      </c>
      <c r="E239" s="4" t="s">
        <v>1051</v>
      </c>
      <c r="F239">
        <v>8</v>
      </c>
      <c r="G239" s="4" t="s">
        <v>1052</v>
      </c>
      <c r="H239">
        <v>8</v>
      </c>
      <c r="I239">
        <v>8.06</v>
      </c>
      <c r="J239">
        <v>0.06</v>
      </c>
      <c r="K239">
        <v>25.49</v>
      </c>
      <c r="L239">
        <v>205.45</v>
      </c>
      <c r="M239" s="4" t="s">
        <v>152</v>
      </c>
    </row>
    <row r="240" spans="1:13" x14ac:dyDescent="0.3">
      <c r="A240" s="4" t="s">
        <v>1303</v>
      </c>
      <c r="B240" s="4" t="s">
        <v>566</v>
      </c>
      <c r="C240" s="1">
        <v>45655</v>
      </c>
      <c r="D240" s="4" t="s">
        <v>1069</v>
      </c>
      <c r="E240" s="4" t="s">
        <v>1066</v>
      </c>
      <c r="F240">
        <v>14</v>
      </c>
      <c r="G240" s="4" t="s">
        <v>1052</v>
      </c>
      <c r="H240">
        <v>8</v>
      </c>
      <c r="I240">
        <v>8.1199999999999992</v>
      </c>
      <c r="J240">
        <v>0.12</v>
      </c>
      <c r="K240">
        <v>18.170000000000002</v>
      </c>
      <c r="L240">
        <v>147.54</v>
      </c>
      <c r="M240" s="4" t="s">
        <v>25</v>
      </c>
    </row>
    <row r="241" spans="1:13" x14ac:dyDescent="0.3">
      <c r="A241" s="4" t="s">
        <v>1304</v>
      </c>
      <c r="B241" s="4" t="s">
        <v>600</v>
      </c>
      <c r="C241" s="1">
        <v>45615</v>
      </c>
      <c r="D241" s="4" t="s">
        <v>1062</v>
      </c>
      <c r="E241" s="4" t="s">
        <v>1058</v>
      </c>
      <c r="F241">
        <v>6</v>
      </c>
      <c r="G241" s="4" t="s">
        <v>1052</v>
      </c>
      <c r="H241">
        <v>8</v>
      </c>
      <c r="I241">
        <v>8.02</v>
      </c>
      <c r="J241">
        <v>0.02</v>
      </c>
      <c r="K241">
        <v>14</v>
      </c>
      <c r="L241">
        <v>112.28</v>
      </c>
      <c r="M241" s="4" t="s">
        <v>25</v>
      </c>
    </row>
    <row r="242" spans="1:13" x14ac:dyDescent="0.3">
      <c r="A242" s="4" t="s">
        <v>1035</v>
      </c>
      <c r="B242" s="4"/>
      <c r="C242" s="1"/>
      <c r="D242" s="4"/>
      <c r="E242" s="4"/>
      <c r="G242" s="4"/>
      <c r="M242" s="4" t="s">
        <v>1071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E15A-D49B-4588-892C-B20FE3A55083}">
  <sheetPr codeName="Hoja2"/>
  <dimension ref="A1:Q222"/>
  <sheetViews>
    <sheetView workbookViewId="0">
      <selection sqref="A1:Q222"/>
    </sheetView>
  </sheetViews>
  <sheetFormatPr baseColWidth="10" defaultRowHeight="14.4" x14ac:dyDescent="0.3"/>
  <cols>
    <col min="1" max="1" width="80.88671875" bestFit="1" customWidth="1"/>
    <col min="2" max="2" width="25.109375" bestFit="1" customWidth="1"/>
    <col min="3" max="3" width="10.109375" bestFit="1" customWidth="1"/>
    <col min="4" max="5" width="12.109375" bestFit="1" customWidth="1"/>
    <col min="6" max="6" width="15.44140625" bestFit="1" customWidth="1"/>
    <col min="7" max="7" width="20.33203125" bestFit="1" customWidth="1"/>
    <col min="8" max="8" width="25.44140625" bestFit="1" customWidth="1"/>
    <col min="9" max="9" width="15.33203125" bestFit="1" customWidth="1"/>
    <col min="10" max="10" width="19.33203125" bestFit="1" customWidth="1"/>
    <col min="11" max="11" width="12.44140625" bestFit="1" customWidth="1"/>
    <col min="12" max="12" width="18.33203125" bestFit="1" customWidth="1"/>
    <col min="13" max="13" width="8.5546875" bestFit="1" customWidth="1"/>
    <col min="14" max="14" width="27.88671875" bestFit="1" customWidth="1"/>
    <col min="15" max="15" width="10.6640625" bestFit="1" customWidth="1"/>
    <col min="16" max="16" width="6.77734375" bestFit="1" customWidth="1"/>
    <col min="17" max="17" width="14.109375" bestFit="1" customWidth="1"/>
  </cols>
  <sheetData>
    <row r="1" spans="1:1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3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22</v>
      </c>
      <c r="H2" t="s">
        <v>23</v>
      </c>
      <c r="I2" t="s">
        <v>24</v>
      </c>
      <c r="J2">
        <v>43037.88</v>
      </c>
      <c r="K2" s="1">
        <v>43801</v>
      </c>
      <c r="L2">
        <v>6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</row>
    <row r="3" spans="1:17" x14ac:dyDescent="0.3">
      <c r="A3" t="s">
        <v>30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36</v>
      </c>
      <c r="H3" t="s">
        <v>23</v>
      </c>
      <c r="I3" t="s">
        <v>37</v>
      </c>
      <c r="J3">
        <v>30589.27</v>
      </c>
      <c r="K3" s="1">
        <v>45310</v>
      </c>
      <c r="L3">
        <v>2</v>
      </c>
      <c r="M3" t="s">
        <v>25</v>
      </c>
      <c r="N3" t="s">
        <v>38</v>
      </c>
      <c r="O3" t="s">
        <v>39</v>
      </c>
      <c r="P3" t="s">
        <v>28</v>
      </c>
      <c r="Q3" t="s">
        <v>29</v>
      </c>
    </row>
    <row r="4" spans="1:17" x14ac:dyDescent="0.3">
      <c r="A4" t="s">
        <v>40</v>
      </c>
      <c r="B4" t="s">
        <v>41</v>
      </c>
      <c r="C4" t="s">
        <v>42</v>
      </c>
      <c r="D4" t="s">
        <v>43</v>
      </c>
      <c r="E4" t="s">
        <v>44</v>
      </c>
      <c r="F4" t="s">
        <v>35</v>
      </c>
      <c r="G4" t="s">
        <v>45</v>
      </c>
      <c r="H4" t="s">
        <v>46</v>
      </c>
      <c r="I4" t="s">
        <v>47</v>
      </c>
      <c r="J4">
        <v>44069.16</v>
      </c>
      <c r="K4" s="1">
        <v>45535</v>
      </c>
      <c r="L4">
        <v>1</v>
      </c>
      <c r="M4" t="s">
        <v>25</v>
      </c>
      <c r="N4" t="s">
        <v>48</v>
      </c>
      <c r="O4" t="s">
        <v>49</v>
      </c>
      <c r="P4" t="s">
        <v>28</v>
      </c>
      <c r="Q4" t="s">
        <v>29</v>
      </c>
    </row>
    <row r="5" spans="1:17" x14ac:dyDescent="0.3">
      <c r="A5" t="s">
        <v>50</v>
      </c>
      <c r="B5" t="s">
        <v>51</v>
      </c>
      <c r="C5" t="s">
        <v>52</v>
      </c>
      <c r="D5" t="s">
        <v>53</v>
      </c>
      <c r="E5" t="s">
        <v>54</v>
      </c>
      <c r="F5" t="s">
        <v>35</v>
      </c>
      <c r="G5" t="s">
        <v>45</v>
      </c>
      <c r="H5" t="s">
        <v>55</v>
      </c>
      <c r="I5" t="s">
        <v>47</v>
      </c>
      <c r="J5">
        <v>37763.18</v>
      </c>
      <c r="K5" s="1">
        <v>45127</v>
      </c>
      <c r="L5">
        <v>2</v>
      </c>
      <c r="M5" t="s">
        <v>25</v>
      </c>
      <c r="N5" t="s">
        <v>56</v>
      </c>
      <c r="O5" t="s">
        <v>57</v>
      </c>
      <c r="P5" t="s">
        <v>28</v>
      </c>
      <c r="Q5" t="s">
        <v>58</v>
      </c>
    </row>
    <row r="6" spans="1:17" x14ac:dyDescent="0.3">
      <c r="A6" t="s">
        <v>59</v>
      </c>
      <c r="B6" t="s">
        <v>60</v>
      </c>
      <c r="C6" t="s">
        <v>61</v>
      </c>
      <c r="D6" t="s">
        <v>62</v>
      </c>
      <c r="E6" t="s">
        <v>63</v>
      </c>
      <c r="F6" t="s">
        <v>64</v>
      </c>
      <c r="G6" t="s">
        <v>65</v>
      </c>
      <c r="H6" t="s">
        <v>66</v>
      </c>
      <c r="I6" t="s">
        <v>37</v>
      </c>
      <c r="J6">
        <v>50733.279999999999</v>
      </c>
      <c r="K6" s="1">
        <v>44312</v>
      </c>
      <c r="L6">
        <v>4</v>
      </c>
      <c r="M6" t="s">
        <v>25</v>
      </c>
      <c r="N6" t="s">
        <v>67</v>
      </c>
      <c r="O6" t="s">
        <v>68</v>
      </c>
      <c r="P6" t="s">
        <v>28</v>
      </c>
      <c r="Q6" t="s">
        <v>29</v>
      </c>
    </row>
    <row r="7" spans="1:17" x14ac:dyDescent="0.3">
      <c r="A7" t="s">
        <v>69</v>
      </c>
      <c r="B7" t="s">
        <v>70</v>
      </c>
      <c r="C7" t="s">
        <v>71</v>
      </c>
      <c r="D7" t="s">
        <v>43</v>
      </c>
      <c r="E7" t="s">
        <v>72</v>
      </c>
      <c r="F7" t="s">
        <v>73</v>
      </c>
      <c r="G7" t="s">
        <v>74</v>
      </c>
      <c r="H7" t="s">
        <v>23</v>
      </c>
      <c r="I7" t="s">
        <v>47</v>
      </c>
      <c r="J7">
        <v>47306.94</v>
      </c>
      <c r="K7" s="1">
        <v>44764</v>
      </c>
      <c r="L7">
        <v>3</v>
      </c>
      <c r="M7" t="s">
        <v>25</v>
      </c>
      <c r="N7" t="s">
        <v>75</v>
      </c>
      <c r="O7" t="s">
        <v>76</v>
      </c>
      <c r="P7" t="s">
        <v>28</v>
      </c>
      <c r="Q7" t="s">
        <v>29</v>
      </c>
    </row>
    <row r="8" spans="1:17" x14ac:dyDescent="0.3">
      <c r="A8" t="s">
        <v>77</v>
      </c>
      <c r="B8" t="s">
        <v>78</v>
      </c>
      <c r="C8" t="s">
        <v>79</v>
      </c>
      <c r="D8" t="s">
        <v>21</v>
      </c>
      <c r="E8" t="s">
        <v>80</v>
      </c>
      <c r="F8" t="s">
        <v>64</v>
      </c>
      <c r="G8" t="s">
        <v>65</v>
      </c>
      <c r="H8" t="s">
        <v>46</v>
      </c>
      <c r="I8" t="s">
        <v>37</v>
      </c>
      <c r="J8">
        <v>23851.84</v>
      </c>
      <c r="K8" s="1">
        <v>45622</v>
      </c>
      <c r="L8">
        <v>1</v>
      </c>
      <c r="M8" t="s">
        <v>25</v>
      </c>
      <c r="N8" t="s">
        <v>81</v>
      </c>
      <c r="O8" t="s">
        <v>82</v>
      </c>
      <c r="P8" t="s">
        <v>28</v>
      </c>
      <c r="Q8" t="s">
        <v>58</v>
      </c>
    </row>
    <row r="9" spans="1:17" x14ac:dyDescent="0.3">
      <c r="A9" t="s">
        <v>83</v>
      </c>
      <c r="B9" t="s">
        <v>84</v>
      </c>
      <c r="C9" t="s">
        <v>85</v>
      </c>
      <c r="D9" t="s">
        <v>80</v>
      </c>
      <c r="E9" t="s">
        <v>86</v>
      </c>
      <c r="F9" t="s">
        <v>73</v>
      </c>
      <c r="G9" t="s">
        <v>87</v>
      </c>
      <c r="H9" t="s">
        <v>46</v>
      </c>
      <c r="I9" t="s">
        <v>37</v>
      </c>
      <c r="J9">
        <v>18720.64</v>
      </c>
      <c r="K9" s="1">
        <v>43726</v>
      </c>
      <c r="L9">
        <v>6</v>
      </c>
      <c r="M9" t="s">
        <v>25</v>
      </c>
      <c r="N9" t="s">
        <v>88</v>
      </c>
      <c r="O9" t="s">
        <v>89</v>
      </c>
      <c r="P9" t="s">
        <v>28</v>
      </c>
      <c r="Q9" t="s">
        <v>58</v>
      </c>
    </row>
    <row r="10" spans="1:17" x14ac:dyDescent="0.3">
      <c r="A10" t="s">
        <v>90</v>
      </c>
      <c r="B10" t="s">
        <v>91</v>
      </c>
      <c r="C10" t="s">
        <v>92</v>
      </c>
      <c r="D10" t="s">
        <v>93</v>
      </c>
      <c r="E10" t="s">
        <v>94</v>
      </c>
      <c r="F10" t="s">
        <v>95</v>
      </c>
      <c r="G10" t="s">
        <v>96</v>
      </c>
      <c r="H10" t="s">
        <v>23</v>
      </c>
      <c r="I10" t="s">
        <v>97</v>
      </c>
      <c r="J10">
        <v>32762.720000000001</v>
      </c>
      <c r="K10" s="1">
        <v>44253</v>
      </c>
      <c r="L10">
        <v>5</v>
      </c>
      <c r="M10" t="s">
        <v>25</v>
      </c>
      <c r="N10" t="s">
        <v>98</v>
      </c>
      <c r="O10" t="s">
        <v>99</v>
      </c>
      <c r="P10" t="s">
        <v>28</v>
      </c>
      <c r="Q10" t="s">
        <v>29</v>
      </c>
    </row>
    <row r="11" spans="1:17" x14ac:dyDescent="0.3">
      <c r="A11" t="s">
        <v>100</v>
      </c>
      <c r="B11" t="s">
        <v>101</v>
      </c>
      <c r="C11" t="s">
        <v>102</v>
      </c>
      <c r="D11" t="s">
        <v>103</v>
      </c>
      <c r="E11" t="s">
        <v>63</v>
      </c>
      <c r="F11" t="s">
        <v>73</v>
      </c>
      <c r="G11" t="s">
        <v>74</v>
      </c>
      <c r="H11" t="s">
        <v>55</v>
      </c>
      <c r="I11" t="s">
        <v>24</v>
      </c>
      <c r="J11">
        <v>49806.51</v>
      </c>
      <c r="K11" s="1">
        <v>45483</v>
      </c>
      <c r="L11">
        <v>1</v>
      </c>
      <c r="M11" t="s">
        <v>25</v>
      </c>
      <c r="N11" t="s">
        <v>104</v>
      </c>
      <c r="O11" t="s">
        <v>105</v>
      </c>
      <c r="P11" t="s">
        <v>28</v>
      </c>
      <c r="Q11" t="s">
        <v>58</v>
      </c>
    </row>
    <row r="12" spans="1:17" x14ac:dyDescent="0.3">
      <c r="A12" t="s">
        <v>106</v>
      </c>
      <c r="B12" t="s">
        <v>107</v>
      </c>
      <c r="C12" t="s">
        <v>108</v>
      </c>
      <c r="D12" t="s">
        <v>109</v>
      </c>
      <c r="E12" t="s">
        <v>110</v>
      </c>
      <c r="F12" t="s">
        <v>95</v>
      </c>
      <c r="G12" t="s">
        <v>111</v>
      </c>
      <c r="H12" t="s">
        <v>66</v>
      </c>
      <c r="I12" t="s">
        <v>24</v>
      </c>
      <c r="J12">
        <v>42914.49</v>
      </c>
      <c r="K12" s="1">
        <v>44305</v>
      </c>
      <c r="L12">
        <v>5</v>
      </c>
      <c r="M12" t="s">
        <v>25</v>
      </c>
      <c r="N12" t="s">
        <v>112</v>
      </c>
      <c r="O12" t="s">
        <v>113</v>
      </c>
      <c r="P12" t="s">
        <v>28</v>
      </c>
      <c r="Q12" t="s">
        <v>58</v>
      </c>
    </row>
    <row r="13" spans="1:17" x14ac:dyDescent="0.3">
      <c r="A13" t="s">
        <v>114</v>
      </c>
      <c r="B13" t="s">
        <v>115</v>
      </c>
      <c r="C13" t="s">
        <v>116</v>
      </c>
      <c r="D13" t="s">
        <v>117</v>
      </c>
      <c r="E13" t="s">
        <v>103</v>
      </c>
      <c r="F13" t="s">
        <v>118</v>
      </c>
      <c r="G13" t="s">
        <v>119</v>
      </c>
      <c r="H13" t="s">
        <v>55</v>
      </c>
      <c r="I13" t="s">
        <v>24</v>
      </c>
      <c r="J13">
        <v>42129.36</v>
      </c>
      <c r="K13" s="1">
        <v>44521</v>
      </c>
      <c r="L13">
        <v>4</v>
      </c>
      <c r="M13" t="s">
        <v>25</v>
      </c>
      <c r="N13" t="s">
        <v>120</v>
      </c>
      <c r="O13" t="s">
        <v>121</v>
      </c>
      <c r="P13" t="s">
        <v>28</v>
      </c>
      <c r="Q13" t="s">
        <v>58</v>
      </c>
    </row>
    <row r="14" spans="1:17" x14ac:dyDescent="0.3">
      <c r="A14" t="s">
        <v>122</v>
      </c>
      <c r="B14" t="s">
        <v>123</v>
      </c>
      <c r="C14" t="s">
        <v>42</v>
      </c>
      <c r="D14" t="s">
        <v>94</v>
      </c>
      <c r="E14" t="s">
        <v>124</v>
      </c>
      <c r="F14" t="s">
        <v>35</v>
      </c>
      <c r="G14" t="s">
        <v>125</v>
      </c>
      <c r="H14" t="s">
        <v>66</v>
      </c>
      <c r="I14" t="s">
        <v>47</v>
      </c>
      <c r="J14">
        <v>25026.22</v>
      </c>
      <c r="K14" s="1">
        <v>45183</v>
      </c>
      <c r="L14">
        <v>2</v>
      </c>
      <c r="M14" t="s">
        <v>25</v>
      </c>
      <c r="N14" t="s">
        <v>126</v>
      </c>
      <c r="O14" t="s">
        <v>127</v>
      </c>
      <c r="P14" t="s">
        <v>28</v>
      </c>
      <c r="Q14" t="s">
        <v>29</v>
      </c>
    </row>
    <row r="15" spans="1:17" x14ac:dyDescent="0.3">
      <c r="A15" t="s">
        <v>128</v>
      </c>
      <c r="B15" t="s">
        <v>129</v>
      </c>
      <c r="C15" t="s">
        <v>130</v>
      </c>
      <c r="D15" t="s">
        <v>131</v>
      </c>
      <c r="E15" t="s">
        <v>103</v>
      </c>
      <c r="F15" t="s">
        <v>132</v>
      </c>
      <c r="G15" t="s">
        <v>133</v>
      </c>
      <c r="H15" t="s">
        <v>23</v>
      </c>
      <c r="I15" t="s">
        <v>37</v>
      </c>
      <c r="J15">
        <v>22435.8</v>
      </c>
      <c r="K15" s="1">
        <v>43805</v>
      </c>
      <c r="L15">
        <v>6</v>
      </c>
      <c r="M15" t="s">
        <v>25</v>
      </c>
      <c r="N15" t="s">
        <v>134</v>
      </c>
      <c r="O15" t="s">
        <v>135</v>
      </c>
      <c r="P15" t="s">
        <v>28</v>
      </c>
      <c r="Q15" t="s">
        <v>29</v>
      </c>
    </row>
    <row r="16" spans="1:17" x14ac:dyDescent="0.3">
      <c r="A16" t="s">
        <v>136</v>
      </c>
      <c r="B16" t="s">
        <v>137</v>
      </c>
      <c r="C16" t="s">
        <v>138</v>
      </c>
      <c r="D16" t="s">
        <v>139</v>
      </c>
      <c r="E16" t="s">
        <v>54</v>
      </c>
      <c r="F16" t="s">
        <v>35</v>
      </c>
      <c r="G16" t="s">
        <v>125</v>
      </c>
      <c r="H16" t="s">
        <v>46</v>
      </c>
      <c r="I16" t="s">
        <v>24</v>
      </c>
      <c r="J16">
        <v>18344.669999999998</v>
      </c>
      <c r="K16" s="1">
        <v>44356</v>
      </c>
      <c r="L16">
        <v>4</v>
      </c>
      <c r="M16" t="s">
        <v>25</v>
      </c>
      <c r="N16" t="s">
        <v>140</v>
      </c>
      <c r="O16" t="s">
        <v>141</v>
      </c>
      <c r="P16" t="s">
        <v>28</v>
      </c>
      <c r="Q16" t="s">
        <v>29</v>
      </c>
    </row>
    <row r="17" spans="1:17" x14ac:dyDescent="0.3">
      <c r="A17" t="s">
        <v>142</v>
      </c>
      <c r="B17" t="s">
        <v>143</v>
      </c>
      <c r="C17" t="s">
        <v>144</v>
      </c>
      <c r="D17" t="s">
        <v>34</v>
      </c>
      <c r="E17" t="s">
        <v>145</v>
      </c>
      <c r="F17" t="s">
        <v>35</v>
      </c>
      <c r="G17" t="s">
        <v>45</v>
      </c>
      <c r="H17" t="s">
        <v>55</v>
      </c>
      <c r="I17" t="s">
        <v>97</v>
      </c>
      <c r="J17">
        <v>52474.97</v>
      </c>
      <c r="K17" s="1">
        <v>45416</v>
      </c>
      <c r="L17">
        <v>1</v>
      </c>
      <c r="M17" t="s">
        <v>25</v>
      </c>
      <c r="N17" t="s">
        <v>146</v>
      </c>
      <c r="O17" t="s">
        <v>147</v>
      </c>
      <c r="P17" t="s">
        <v>28</v>
      </c>
      <c r="Q17" t="s">
        <v>58</v>
      </c>
    </row>
    <row r="18" spans="1:17" x14ac:dyDescent="0.3">
      <c r="A18" t="s">
        <v>148</v>
      </c>
      <c r="B18" t="s">
        <v>149</v>
      </c>
      <c r="C18" t="s">
        <v>61</v>
      </c>
      <c r="D18" t="s">
        <v>150</v>
      </c>
      <c r="E18" t="s">
        <v>151</v>
      </c>
      <c r="F18" t="s">
        <v>35</v>
      </c>
      <c r="G18" t="s">
        <v>45</v>
      </c>
      <c r="H18" t="s">
        <v>66</v>
      </c>
      <c r="I18" t="s">
        <v>97</v>
      </c>
      <c r="J18">
        <v>51497.45</v>
      </c>
      <c r="K18" s="1">
        <v>43896</v>
      </c>
      <c r="L18">
        <v>6</v>
      </c>
      <c r="M18" t="s">
        <v>152</v>
      </c>
      <c r="N18" t="s">
        <v>153</v>
      </c>
      <c r="O18" t="s">
        <v>154</v>
      </c>
      <c r="P18" t="s">
        <v>28</v>
      </c>
      <c r="Q18" t="s">
        <v>29</v>
      </c>
    </row>
    <row r="19" spans="1:17" x14ac:dyDescent="0.3">
      <c r="A19" t="s">
        <v>155</v>
      </c>
      <c r="B19" t="s">
        <v>156</v>
      </c>
      <c r="C19" t="s">
        <v>92</v>
      </c>
      <c r="D19" t="s">
        <v>63</v>
      </c>
      <c r="E19" t="s">
        <v>109</v>
      </c>
      <c r="F19" t="s">
        <v>73</v>
      </c>
      <c r="G19" t="s">
        <v>74</v>
      </c>
      <c r="H19" t="s">
        <v>55</v>
      </c>
      <c r="I19" t="s">
        <v>47</v>
      </c>
      <c r="J19">
        <v>38186.839999999997</v>
      </c>
      <c r="K19" s="1">
        <v>43919</v>
      </c>
      <c r="L19">
        <v>6</v>
      </c>
      <c r="M19" t="s">
        <v>25</v>
      </c>
      <c r="N19" t="s">
        <v>157</v>
      </c>
      <c r="O19" t="s">
        <v>158</v>
      </c>
      <c r="P19" t="s">
        <v>28</v>
      </c>
      <c r="Q19" t="s">
        <v>29</v>
      </c>
    </row>
    <row r="20" spans="1:17" x14ac:dyDescent="0.3">
      <c r="A20" t="s">
        <v>159</v>
      </c>
      <c r="B20" t="s">
        <v>160</v>
      </c>
      <c r="C20" t="s">
        <v>108</v>
      </c>
      <c r="D20" t="s">
        <v>161</v>
      </c>
      <c r="E20" t="s">
        <v>110</v>
      </c>
      <c r="F20" t="s">
        <v>95</v>
      </c>
      <c r="G20" t="s">
        <v>162</v>
      </c>
      <c r="H20" t="s">
        <v>23</v>
      </c>
      <c r="I20" t="s">
        <v>47</v>
      </c>
      <c r="J20">
        <v>49990.41</v>
      </c>
      <c r="K20" s="1">
        <v>43990</v>
      </c>
      <c r="L20">
        <v>5</v>
      </c>
      <c r="M20" t="s">
        <v>25</v>
      </c>
      <c r="N20" t="s">
        <v>163</v>
      </c>
      <c r="O20" t="s">
        <v>164</v>
      </c>
      <c r="P20" t="s">
        <v>28</v>
      </c>
      <c r="Q20" t="s">
        <v>29</v>
      </c>
    </row>
    <row r="21" spans="1:17" x14ac:dyDescent="0.3">
      <c r="A21" t="s">
        <v>165</v>
      </c>
      <c r="B21" t="s">
        <v>166</v>
      </c>
      <c r="C21" t="s">
        <v>167</v>
      </c>
      <c r="D21" t="s">
        <v>33</v>
      </c>
      <c r="E21" t="s">
        <v>168</v>
      </c>
      <c r="F21" t="s">
        <v>118</v>
      </c>
      <c r="G21" t="s">
        <v>169</v>
      </c>
      <c r="H21" t="s">
        <v>46</v>
      </c>
      <c r="I21" t="s">
        <v>47</v>
      </c>
      <c r="J21">
        <v>26248.17</v>
      </c>
      <c r="K21" s="1">
        <v>44277</v>
      </c>
      <c r="L21">
        <v>5</v>
      </c>
      <c r="M21" t="s">
        <v>25</v>
      </c>
      <c r="N21" t="s">
        <v>170</v>
      </c>
      <c r="O21" t="s">
        <v>171</v>
      </c>
      <c r="P21" t="s">
        <v>28</v>
      </c>
      <c r="Q21" t="s">
        <v>58</v>
      </c>
    </row>
    <row r="22" spans="1:17" x14ac:dyDescent="0.3">
      <c r="A22" t="s">
        <v>172</v>
      </c>
      <c r="B22" t="s">
        <v>173</v>
      </c>
      <c r="C22" t="s">
        <v>174</v>
      </c>
      <c r="D22" t="s">
        <v>131</v>
      </c>
      <c r="E22" t="s">
        <v>175</v>
      </c>
      <c r="F22" t="s">
        <v>35</v>
      </c>
      <c r="G22" t="s">
        <v>36</v>
      </c>
      <c r="H22" t="s">
        <v>55</v>
      </c>
      <c r="I22" t="s">
        <v>37</v>
      </c>
      <c r="J22">
        <v>30790.42</v>
      </c>
      <c r="K22" s="1">
        <v>44018</v>
      </c>
      <c r="L22">
        <v>5</v>
      </c>
      <c r="M22" t="s">
        <v>25</v>
      </c>
      <c r="N22" t="s">
        <v>176</v>
      </c>
      <c r="O22" t="s">
        <v>177</v>
      </c>
      <c r="P22" t="s">
        <v>28</v>
      </c>
      <c r="Q22" t="s">
        <v>29</v>
      </c>
    </row>
    <row r="23" spans="1:17" x14ac:dyDescent="0.3">
      <c r="A23" t="s">
        <v>178</v>
      </c>
      <c r="B23" t="s">
        <v>179</v>
      </c>
      <c r="C23" t="s">
        <v>85</v>
      </c>
      <c r="D23" t="s">
        <v>150</v>
      </c>
      <c r="E23" t="s">
        <v>180</v>
      </c>
      <c r="F23" t="s">
        <v>22</v>
      </c>
      <c r="G23" t="s">
        <v>181</v>
      </c>
      <c r="H23" t="s">
        <v>66</v>
      </c>
      <c r="I23" t="s">
        <v>24</v>
      </c>
      <c r="J23">
        <v>53108.36</v>
      </c>
      <c r="K23" s="1">
        <v>43743</v>
      </c>
      <c r="L23">
        <v>6</v>
      </c>
      <c r="M23" t="s">
        <v>25</v>
      </c>
      <c r="N23" t="s">
        <v>182</v>
      </c>
      <c r="O23" t="s">
        <v>183</v>
      </c>
      <c r="P23" t="s">
        <v>28</v>
      </c>
      <c r="Q23" t="s">
        <v>29</v>
      </c>
    </row>
    <row r="24" spans="1:17" x14ac:dyDescent="0.3">
      <c r="A24" t="s">
        <v>184</v>
      </c>
      <c r="B24" t="s">
        <v>185</v>
      </c>
      <c r="C24" t="s">
        <v>186</v>
      </c>
      <c r="D24" t="s">
        <v>187</v>
      </c>
      <c r="E24" t="s">
        <v>54</v>
      </c>
      <c r="F24" t="s">
        <v>95</v>
      </c>
      <c r="G24" t="s">
        <v>162</v>
      </c>
      <c r="H24" t="s">
        <v>23</v>
      </c>
      <c r="I24" t="s">
        <v>97</v>
      </c>
      <c r="J24">
        <v>33024.78</v>
      </c>
      <c r="K24" s="1">
        <v>43921</v>
      </c>
      <c r="L24">
        <v>6</v>
      </c>
      <c r="M24" t="s">
        <v>152</v>
      </c>
      <c r="N24" t="s">
        <v>188</v>
      </c>
      <c r="O24" t="s">
        <v>189</v>
      </c>
      <c r="P24" t="s">
        <v>28</v>
      </c>
      <c r="Q24" t="s">
        <v>58</v>
      </c>
    </row>
    <row r="25" spans="1:17" x14ac:dyDescent="0.3">
      <c r="A25" t="s">
        <v>190</v>
      </c>
      <c r="B25" t="s">
        <v>191</v>
      </c>
      <c r="C25" t="s">
        <v>192</v>
      </c>
      <c r="D25" t="s">
        <v>193</v>
      </c>
      <c r="E25" t="s">
        <v>54</v>
      </c>
      <c r="F25" t="s">
        <v>64</v>
      </c>
      <c r="G25" t="s">
        <v>65</v>
      </c>
      <c r="H25" t="s">
        <v>23</v>
      </c>
      <c r="I25" t="s">
        <v>97</v>
      </c>
      <c r="J25">
        <v>26311.7</v>
      </c>
      <c r="K25" s="1">
        <v>45221</v>
      </c>
      <c r="L25">
        <v>2</v>
      </c>
      <c r="M25" t="s">
        <v>25</v>
      </c>
      <c r="N25" t="s">
        <v>194</v>
      </c>
      <c r="O25" t="s">
        <v>195</v>
      </c>
      <c r="P25" t="s">
        <v>28</v>
      </c>
      <c r="Q25" t="s">
        <v>58</v>
      </c>
    </row>
    <row r="26" spans="1:17" x14ac:dyDescent="0.3">
      <c r="A26" t="s">
        <v>196</v>
      </c>
      <c r="B26" t="s">
        <v>197</v>
      </c>
      <c r="C26" t="s">
        <v>198</v>
      </c>
      <c r="D26" t="s">
        <v>199</v>
      </c>
      <c r="E26" t="s">
        <v>200</v>
      </c>
      <c r="F26" t="s">
        <v>73</v>
      </c>
      <c r="G26" t="s">
        <v>74</v>
      </c>
      <c r="H26" t="s">
        <v>66</v>
      </c>
      <c r="I26" t="s">
        <v>47</v>
      </c>
      <c r="J26">
        <v>24507.81</v>
      </c>
      <c r="K26" s="1">
        <v>43667</v>
      </c>
      <c r="L26">
        <v>6</v>
      </c>
      <c r="M26" t="s">
        <v>25</v>
      </c>
      <c r="N26" t="s">
        <v>201</v>
      </c>
      <c r="O26" t="s">
        <v>202</v>
      </c>
      <c r="P26" t="s">
        <v>28</v>
      </c>
      <c r="Q26" t="s">
        <v>29</v>
      </c>
    </row>
    <row r="27" spans="1:17" x14ac:dyDescent="0.3">
      <c r="A27" t="s">
        <v>203</v>
      </c>
      <c r="B27" t="s">
        <v>204</v>
      </c>
      <c r="C27" t="s">
        <v>205</v>
      </c>
      <c r="D27" t="s">
        <v>180</v>
      </c>
      <c r="E27" t="s">
        <v>193</v>
      </c>
      <c r="F27" t="s">
        <v>95</v>
      </c>
      <c r="G27" t="s">
        <v>162</v>
      </c>
      <c r="H27" t="s">
        <v>66</v>
      </c>
      <c r="I27" t="s">
        <v>47</v>
      </c>
      <c r="J27">
        <v>45515.25</v>
      </c>
      <c r="K27" s="1">
        <v>44656</v>
      </c>
      <c r="L27">
        <v>4</v>
      </c>
      <c r="M27" t="s">
        <v>25</v>
      </c>
      <c r="N27" t="s">
        <v>206</v>
      </c>
      <c r="O27" t="s">
        <v>207</v>
      </c>
      <c r="P27" t="s">
        <v>28</v>
      </c>
      <c r="Q27" t="s">
        <v>58</v>
      </c>
    </row>
    <row r="28" spans="1:17" x14ac:dyDescent="0.3">
      <c r="A28" t="s">
        <v>208</v>
      </c>
      <c r="B28" t="s">
        <v>209</v>
      </c>
      <c r="C28" t="s">
        <v>210</v>
      </c>
      <c r="D28" t="s">
        <v>211</v>
      </c>
      <c r="E28" t="s">
        <v>145</v>
      </c>
      <c r="F28" t="s">
        <v>132</v>
      </c>
      <c r="G28" t="s">
        <v>212</v>
      </c>
      <c r="H28" t="s">
        <v>23</v>
      </c>
      <c r="I28" t="s">
        <v>47</v>
      </c>
      <c r="J28">
        <v>32172.31</v>
      </c>
      <c r="K28" s="1">
        <v>45316</v>
      </c>
      <c r="L28">
        <v>2</v>
      </c>
      <c r="M28" t="s">
        <v>25</v>
      </c>
      <c r="N28" t="s">
        <v>213</v>
      </c>
      <c r="O28" t="s">
        <v>214</v>
      </c>
      <c r="P28" t="s">
        <v>28</v>
      </c>
      <c r="Q28" t="s">
        <v>29</v>
      </c>
    </row>
    <row r="29" spans="1:17" x14ac:dyDescent="0.3">
      <c r="A29" t="s">
        <v>215</v>
      </c>
      <c r="B29" t="s">
        <v>216</v>
      </c>
      <c r="C29" t="s">
        <v>79</v>
      </c>
      <c r="D29" t="s">
        <v>62</v>
      </c>
      <c r="E29" t="s">
        <v>217</v>
      </c>
      <c r="F29" t="s">
        <v>118</v>
      </c>
      <c r="G29" t="s">
        <v>218</v>
      </c>
      <c r="H29" t="s">
        <v>46</v>
      </c>
      <c r="I29" t="s">
        <v>97</v>
      </c>
      <c r="J29">
        <v>45878.58</v>
      </c>
      <c r="K29" s="1">
        <v>43881</v>
      </c>
      <c r="L29">
        <v>6</v>
      </c>
      <c r="M29" t="s">
        <v>25</v>
      </c>
      <c r="N29" t="s">
        <v>219</v>
      </c>
      <c r="O29" t="s">
        <v>220</v>
      </c>
      <c r="P29" t="s">
        <v>28</v>
      </c>
      <c r="Q29" t="s">
        <v>29</v>
      </c>
    </row>
    <row r="30" spans="1:17" x14ac:dyDescent="0.3">
      <c r="A30" t="s">
        <v>221</v>
      </c>
      <c r="B30" t="s">
        <v>222</v>
      </c>
      <c r="C30" t="s">
        <v>108</v>
      </c>
      <c r="D30" t="s">
        <v>150</v>
      </c>
      <c r="E30" t="s">
        <v>223</v>
      </c>
      <c r="F30" t="s">
        <v>224</v>
      </c>
      <c r="G30" t="s">
        <v>225</v>
      </c>
      <c r="H30" t="s">
        <v>23</v>
      </c>
      <c r="I30" t="s">
        <v>24</v>
      </c>
      <c r="J30">
        <v>51556.37</v>
      </c>
      <c r="K30" s="1">
        <v>44416</v>
      </c>
      <c r="L30">
        <v>4</v>
      </c>
      <c r="M30" t="s">
        <v>25</v>
      </c>
      <c r="N30" t="s">
        <v>226</v>
      </c>
      <c r="O30" t="s">
        <v>227</v>
      </c>
      <c r="P30" t="s">
        <v>28</v>
      </c>
      <c r="Q30" t="s">
        <v>29</v>
      </c>
    </row>
    <row r="31" spans="1:17" x14ac:dyDescent="0.3">
      <c r="A31" t="s">
        <v>228</v>
      </c>
      <c r="B31" t="s">
        <v>229</v>
      </c>
      <c r="C31" t="s">
        <v>116</v>
      </c>
      <c r="D31" t="s">
        <v>211</v>
      </c>
      <c r="E31" t="s">
        <v>230</v>
      </c>
      <c r="F31" t="s">
        <v>95</v>
      </c>
      <c r="G31" t="s">
        <v>111</v>
      </c>
      <c r="H31" t="s">
        <v>66</v>
      </c>
      <c r="I31" t="s">
        <v>97</v>
      </c>
      <c r="J31">
        <v>48891.7</v>
      </c>
      <c r="K31" s="1">
        <v>44665</v>
      </c>
      <c r="L31">
        <v>4</v>
      </c>
      <c r="M31" t="s">
        <v>152</v>
      </c>
      <c r="N31" t="s">
        <v>231</v>
      </c>
      <c r="O31" t="s">
        <v>232</v>
      </c>
      <c r="P31" t="s">
        <v>28</v>
      </c>
      <c r="Q31" t="s">
        <v>29</v>
      </c>
    </row>
    <row r="32" spans="1:17" x14ac:dyDescent="0.3">
      <c r="A32" t="s">
        <v>233</v>
      </c>
      <c r="B32" t="s">
        <v>234</v>
      </c>
      <c r="C32" t="s">
        <v>235</v>
      </c>
      <c r="D32" t="s">
        <v>236</v>
      </c>
      <c r="E32" t="s">
        <v>54</v>
      </c>
      <c r="F32" t="s">
        <v>132</v>
      </c>
      <c r="G32" t="s">
        <v>133</v>
      </c>
      <c r="H32" t="s">
        <v>23</v>
      </c>
      <c r="I32" t="s">
        <v>37</v>
      </c>
      <c r="J32">
        <v>43880.2</v>
      </c>
      <c r="K32" s="1">
        <v>44058</v>
      </c>
      <c r="L32">
        <v>5</v>
      </c>
      <c r="M32" t="s">
        <v>25</v>
      </c>
      <c r="N32" t="s">
        <v>237</v>
      </c>
      <c r="O32" t="s">
        <v>238</v>
      </c>
      <c r="P32" t="s">
        <v>28</v>
      </c>
      <c r="Q32" t="s">
        <v>29</v>
      </c>
    </row>
    <row r="33" spans="1:17" x14ac:dyDescent="0.3">
      <c r="A33" t="s">
        <v>239</v>
      </c>
      <c r="B33" t="s">
        <v>240</v>
      </c>
      <c r="C33" t="s">
        <v>241</v>
      </c>
      <c r="D33" t="s">
        <v>175</v>
      </c>
      <c r="E33" t="s">
        <v>242</v>
      </c>
      <c r="F33" t="s">
        <v>22</v>
      </c>
      <c r="G33" t="s">
        <v>22</v>
      </c>
      <c r="H33" t="s">
        <v>46</v>
      </c>
      <c r="I33" t="s">
        <v>24</v>
      </c>
      <c r="J33">
        <v>47460.41</v>
      </c>
      <c r="K33" s="1">
        <v>44469</v>
      </c>
      <c r="L33">
        <v>4</v>
      </c>
      <c r="M33" t="s">
        <v>25</v>
      </c>
      <c r="N33" t="s">
        <v>243</v>
      </c>
      <c r="O33" t="s">
        <v>244</v>
      </c>
      <c r="P33" t="s">
        <v>28</v>
      </c>
      <c r="Q33" t="s">
        <v>29</v>
      </c>
    </row>
    <row r="34" spans="1:17" x14ac:dyDescent="0.3">
      <c r="A34" t="s">
        <v>245</v>
      </c>
      <c r="B34" t="s">
        <v>246</v>
      </c>
      <c r="C34" t="s">
        <v>247</v>
      </c>
      <c r="D34" t="s">
        <v>124</v>
      </c>
      <c r="E34" t="s">
        <v>63</v>
      </c>
      <c r="F34" t="s">
        <v>224</v>
      </c>
      <c r="G34" t="s">
        <v>225</v>
      </c>
      <c r="H34" t="s">
        <v>23</v>
      </c>
      <c r="I34" t="s">
        <v>97</v>
      </c>
      <c r="J34">
        <v>40788.76</v>
      </c>
      <c r="K34" s="1">
        <v>43745</v>
      </c>
      <c r="L34">
        <v>6</v>
      </c>
      <c r="M34" t="s">
        <v>25</v>
      </c>
      <c r="N34" t="s">
        <v>248</v>
      </c>
      <c r="O34" t="s">
        <v>249</v>
      </c>
      <c r="P34" t="s">
        <v>28</v>
      </c>
      <c r="Q34" t="s">
        <v>58</v>
      </c>
    </row>
    <row r="35" spans="1:17" x14ac:dyDescent="0.3">
      <c r="A35" t="s">
        <v>250</v>
      </c>
      <c r="B35" t="s">
        <v>251</v>
      </c>
      <c r="C35" t="s">
        <v>252</v>
      </c>
      <c r="D35" t="s">
        <v>253</v>
      </c>
      <c r="E35" t="s">
        <v>54</v>
      </c>
      <c r="F35" t="s">
        <v>95</v>
      </c>
      <c r="G35" t="s">
        <v>111</v>
      </c>
      <c r="H35" t="s">
        <v>55</v>
      </c>
      <c r="I35" t="s">
        <v>37</v>
      </c>
      <c r="J35">
        <v>49485.25</v>
      </c>
      <c r="K35" s="1">
        <v>45256</v>
      </c>
      <c r="L35">
        <v>2</v>
      </c>
      <c r="M35" t="s">
        <v>25</v>
      </c>
      <c r="N35" t="s">
        <v>254</v>
      </c>
      <c r="O35" t="s">
        <v>255</v>
      </c>
      <c r="P35" t="s">
        <v>28</v>
      </c>
      <c r="Q35" t="s">
        <v>58</v>
      </c>
    </row>
    <row r="36" spans="1:17" x14ac:dyDescent="0.3">
      <c r="A36" t="s">
        <v>256</v>
      </c>
      <c r="B36" t="s">
        <v>257</v>
      </c>
      <c r="C36" t="s">
        <v>258</v>
      </c>
      <c r="D36" t="s">
        <v>187</v>
      </c>
      <c r="E36" t="s">
        <v>259</v>
      </c>
      <c r="F36" t="s">
        <v>22</v>
      </c>
      <c r="G36" t="s">
        <v>260</v>
      </c>
      <c r="H36" t="s">
        <v>66</v>
      </c>
      <c r="I36" t="s">
        <v>37</v>
      </c>
      <c r="J36">
        <v>34582.46</v>
      </c>
      <c r="K36" s="1">
        <v>45593</v>
      </c>
      <c r="L36">
        <v>1</v>
      </c>
      <c r="M36" t="s">
        <v>25</v>
      </c>
      <c r="N36" t="s">
        <v>261</v>
      </c>
      <c r="O36" t="s">
        <v>262</v>
      </c>
      <c r="P36" t="s">
        <v>28</v>
      </c>
      <c r="Q36" t="s">
        <v>29</v>
      </c>
    </row>
    <row r="37" spans="1:17" x14ac:dyDescent="0.3">
      <c r="A37" t="s">
        <v>263</v>
      </c>
      <c r="B37" t="s">
        <v>264</v>
      </c>
      <c r="C37" t="s">
        <v>265</v>
      </c>
      <c r="D37" t="s">
        <v>266</v>
      </c>
      <c r="E37" t="s">
        <v>94</v>
      </c>
      <c r="F37" t="s">
        <v>22</v>
      </c>
      <c r="G37" t="s">
        <v>22</v>
      </c>
      <c r="H37" t="s">
        <v>23</v>
      </c>
      <c r="I37" t="s">
        <v>97</v>
      </c>
      <c r="J37">
        <v>22423.53</v>
      </c>
      <c r="K37" s="1">
        <v>44531</v>
      </c>
      <c r="L37">
        <v>4</v>
      </c>
      <c r="M37" t="s">
        <v>25</v>
      </c>
      <c r="N37" t="s">
        <v>267</v>
      </c>
      <c r="O37" t="s">
        <v>268</v>
      </c>
      <c r="P37" t="s">
        <v>28</v>
      </c>
      <c r="Q37" t="s">
        <v>29</v>
      </c>
    </row>
    <row r="38" spans="1:17" x14ac:dyDescent="0.3">
      <c r="A38" t="s">
        <v>269</v>
      </c>
      <c r="B38" t="s">
        <v>270</v>
      </c>
      <c r="C38" t="s">
        <v>271</v>
      </c>
      <c r="D38" t="s">
        <v>131</v>
      </c>
      <c r="E38" t="s">
        <v>266</v>
      </c>
      <c r="F38" t="s">
        <v>73</v>
      </c>
      <c r="G38" t="s">
        <v>87</v>
      </c>
      <c r="H38" t="s">
        <v>23</v>
      </c>
      <c r="I38" t="s">
        <v>97</v>
      </c>
      <c r="J38">
        <v>19684.080000000002</v>
      </c>
      <c r="K38" s="1">
        <v>45517</v>
      </c>
      <c r="L38">
        <v>1</v>
      </c>
      <c r="M38" t="s">
        <v>25</v>
      </c>
      <c r="N38" t="s">
        <v>272</v>
      </c>
      <c r="O38" t="s">
        <v>273</v>
      </c>
      <c r="P38" t="s">
        <v>28</v>
      </c>
      <c r="Q38" t="s">
        <v>29</v>
      </c>
    </row>
    <row r="39" spans="1:17" x14ac:dyDescent="0.3">
      <c r="A39" t="s">
        <v>274</v>
      </c>
      <c r="B39" t="s">
        <v>275</v>
      </c>
      <c r="C39" t="s">
        <v>276</v>
      </c>
      <c r="D39" t="s">
        <v>277</v>
      </c>
      <c r="E39" t="s">
        <v>94</v>
      </c>
      <c r="F39" t="s">
        <v>118</v>
      </c>
      <c r="G39" t="s">
        <v>218</v>
      </c>
      <c r="H39" t="s">
        <v>55</v>
      </c>
      <c r="I39" t="s">
        <v>37</v>
      </c>
      <c r="J39">
        <v>36194.620000000003</v>
      </c>
      <c r="K39" s="1">
        <v>44447</v>
      </c>
      <c r="L39">
        <v>4</v>
      </c>
      <c r="M39" t="s">
        <v>25</v>
      </c>
      <c r="N39" t="s">
        <v>278</v>
      </c>
      <c r="O39" t="s">
        <v>279</v>
      </c>
      <c r="P39" t="s">
        <v>28</v>
      </c>
      <c r="Q39" t="s">
        <v>29</v>
      </c>
    </row>
    <row r="40" spans="1:17" x14ac:dyDescent="0.3">
      <c r="A40" t="s">
        <v>280</v>
      </c>
      <c r="B40" t="s">
        <v>281</v>
      </c>
      <c r="C40" t="s">
        <v>42</v>
      </c>
      <c r="D40" t="s">
        <v>34</v>
      </c>
      <c r="E40" t="s">
        <v>34</v>
      </c>
      <c r="F40" t="s">
        <v>35</v>
      </c>
      <c r="G40" t="s">
        <v>45</v>
      </c>
      <c r="H40" t="s">
        <v>66</v>
      </c>
      <c r="I40" t="s">
        <v>97</v>
      </c>
      <c r="J40">
        <v>39039.29</v>
      </c>
      <c r="K40" s="1">
        <v>45505</v>
      </c>
      <c r="L40">
        <v>1</v>
      </c>
      <c r="M40" t="s">
        <v>25</v>
      </c>
      <c r="N40" t="s">
        <v>282</v>
      </c>
      <c r="O40" t="s">
        <v>283</v>
      </c>
      <c r="P40" t="s">
        <v>28</v>
      </c>
      <c r="Q40" t="s">
        <v>29</v>
      </c>
    </row>
    <row r="41" spans="1:17" x14ac:dyDescent="0.3">
      <c r="A41" t="s">
        <v>284</v>
      </c>
      <c r="B41" t="s">
        <v>285</v>
      </c>
      <c r="C41" t="s">
        <v>144</v>
      </c>
      <c r="D41" t="s">
        <v>286</v>
      </c>
      <c r="E41" t="s">
        <v>187</v>
      </c>
      <c r="F41" t="s">
        <v>118</v>
      </c>
      <c r="G41" t="s">
        <v>119</v>
      </c>
      <c r="H41" t="s">
        <v>66</v>
      </c>
      <c r="I41" t="s">
        <v>97</v>
      </c>
      <c r="J41">
        <v>19207.669999999998</v>
      </c>
      <c r="K41" s="1">
        <v>45038</v>
      </c>
      <c r="L41">
        <v>3</v>
      </c>
      <c r="M41" t="s">
        <v>25</v>
      </c>
      <c r="N41" t="s">
        <v>287</v>
      </c>
      <c r="O41" t="s">
        <v>288</v>
      </c>
      <c r="P41" t="s">
        <v>28</v>
      </c>
      <c r="Q41" t="s">
        <v>58</v>
      </c>
    </row>
    <row r="42" spans="1:17" x14ac:dyDescent="0.3">
      <c r="A42" t="s">
        <v>289</v>
      </c>
      <c r="B42" t="s">
        <v>290</v>
      </c>
      <c r="C42" t="s">
        <v>265</v>
      </c>
      <c r="D42" t="s">
        <v>199</v>
      </c>
      <c r="E42" t="s">
        <v>103</v>
      </c>
      <c r="F42" t="s">
        <v>73</v>
      </c>
      <c r="G42" t="s">
        <v>74</v>
      </c>
      <c r="H42" t="s">
        <v>46</v>
      </c>
      <c r="I42" t="s">
        <v>97</v>
      </c>
      <c r="J42">
        <v>34248.68</v>
      </c>
      <c r="K42" s="1">
        <v>44669</v>
      </c>
      <c r="L42">
        <v>4</v>
      </c>
      <c r="M42" t="s">
        <v>25</v>
      </c>
      <c r="N42" t="s">
        <v>291</v>
      </c>
      <c r="O42" t="s">
        <v>292</v>
      </c>
      <c r="P42" t="s">
        <v>28</v>
      </c>
      <c r="Q42" t="s">
        <v>29</v>
      </c>
    </row>
    <row r="43" spans="1:17" x14ac:dyDescent="0.3">
      <c r="A43" t="s">
        <v>293</v>
      </c>
      <c r="B43" t="s">
        <v>294</v>
      </c>
      <c r="C43" t="s">
        <v>19</v>
      </c>
      <c r="D43" t="s">
        <v>43</v>
      </c>
      <c r="E43" t="s">
        <v>33</v>
      </c>
      <c r="F43" t="s">
        <v>73</v>
      </c>
      <c r="G43" t="s">
        <v>87</v>
      </c>
      <c r="H43" t="s">
        <v>46</v>
      </c>
      <c r="I43" t="s">
        <v>24</v>
      </c>
      <c r="J43">
        <v>46235.03</v>
      </c>
      <c r="K43" s="1">
        <v>45270</v>
      </c>
      <c r="L43">
        <v>2</v>
      </c>
      <c r="M43" t="s">
        <v>25</v>
      </c>
      <c r="N43" t="s">
        <v>295</v>
      </c>
      <c r="O43" t="s">
        <v>296</v>
      </c>
      <c r="P43" t="s">
        <v>28</v>
      </c>
      <c r="Q43" t="s">
        <v>58</v>
      </c>
    </row>
    <row r="44" spans="1:17" x14ac:dyDescent="0.3">
      <c r="A44" t="s">
        <v>297</v>
      </c>
      <c r="B44" t="s">
        <v>298</v>
      </c>
      <c r="C44" t="s">
        <v>299</v>
      </c>
      <c r="D44" t="s">
        <v>54</v>
      </c>
      <c r="E44" t="s">
        <v>161</v>
      </c>
      <c r="F44" t="s">
        <v>224</v>
      </c>
      <c r="G44" t="s">
        <v>225</v>
      </c>
      <c r="H44" t="s">
        <v>66</v>
      </c>
      <c r="I44" t="s">
        <v>37</v>
      </c>
      <c r="J44">
        <v>28664.06</v>
      </c>
      <c r="K44" s="1">
        <v>43693</v>
      </c>
      <c r="L44">
        <v>6</v>
      </c>
      <c r="M44" t="s">
        <v>25</v>
      </c>
      <c r="N44" t="s">
        <v>300</v>
      </c>
      <c r="O44" t="s">
        <v>301</v>
      </c>
      <c r="P44" t="s">
        <v>28</v>
      </c>
      <c r="Q44" t="s">
        <v>29</v>
      </c>
    </row>
    <row r="45" spans="1:17" x14ac:dyDescent="0.3">
      <c r="A45" t="s">
        <v>302</v>
      </c>
      <c r="B45" t="s">
        <v>303</v>
      </c>
      <c r="C45" t="s">
        <v>116</v>
      </c>
      <c r="D45" t="s">
        <v>187</v>
      </c>
      <c r="E45" t="s">
        <v>277</v>
      </c>
      <c r="F45" t="s">
        <v>22</v>
      </c>
      <c r="G45" t="s">
        <v>260</v>
      </c>
      <c r="H45" t="s">
        <v>46</v>
      </c>
      <c r="I45" t="s">
        <v>37</v>
      </c>
      <c r="J45">
        <v>41140.120000000003</v>
      </c>
      <c r="K45" s="1">
        <v>44072</v>
      </c>
      <c r="L45">
        <v>5</v>
      </c>
      <c r="M45" t="s">
        <v>152</v>
      </c>
      <c r="N45" t="s">
        <v>304</v>
      </c>
      <c r="O45" t="s">
        <v>305</v>
      </c>
      <c r="P45" t="s">
        <v>28</v>
      </c>
      <c r="Q45" t="s">
        <v>29</v>
      </c>
    </row>
    <row r="46" spans="1:17" x14ac:dyDescent="0.3">
      <c r="A46" t="s">
        <v>306</v>
      </c>
      <c r="B46" t="s">
        <v>307</v>
      </c>
      <c r="C46" t="s">
        <v>92</v>
      </c>
      <c r="D46" t="s">
        <v>286</v>
      </c>
      <c r="E46" t="s">
        <v>44</v>
      </c>
      <c r="F46" t="s">
        <v>95</v>
      </c>
      <c r="G46" t="s">
        <v>96</v>
      </c>
      <c r="H46" t="s">
        <v>23</v>
      </c>
      <c r="I46" t="s">
        <v>24</v>
      </c>
      <c r="J46">
        <v>35073.57</v>
      </c>
      <c r="K46" s="1">
        <v>45388</v>
      </c>
      <c r="L46">
        <v>2</v>
      </c>
      <c r="M46" t="s">
        <v>25</v>
      </c>
      <c r="N46" t="s">
        <v>308</v>
      </c>
      <c r="O46" t="s">
        <v>309</v>
      </c>
      <c r="P46" t="s">
        <v>28</v>
      </c>
      <c r="Q46" t="s">
        <v>58</v>
      </c>
    </row>
    <row r="47" spans="1:17" x14ac:dyDescent="0.3">
      <c r="A47" t="s">
        <v>310</v>
      </c>
      <c r="B47" t="s">
        <v>311</v>
      </c>
      <c r="C47" t="s">
        <v>42</v>
      </c>
      <c r="D47" t="s">
        <v>168</v>
      </c>
      <c r="E47" t="s">
        <v>312</v>
      </c>
      <c r="F47" t="s">
        <v>224</v>
      </c>
      <c r="G47" t="s">
        <v>313</v>
      </c>
      <c r="H47" t="s">
        <v>46</v>
      </c>
      <c r="I47" t="s">
        <v>37</v>
      </c>
      <c r="J47">
        <v>30575.38</v>
      </c>
      <c r="K47" s="1">
        <v>44015</v>
      </c>
      <c r="L47">
        <v>5</v>
      </c>
      <c r="M47" t="s">
        <v>25</v>
      </c>
      <c r="N47" t="s">
        <v>314</v>
      </c>
      <c r="O47" t="s">
        <v>315</v>
      </c>
      <c r="P47" t="s">
        <v>28</v>
      </c>
      <c r="Q47" t="s">
        <v>58</v>
      </c>
    </row>
    <row r="48" spans="1:17" x14ac:dyDescent="0.3">
      <c r="A48" t="s">
        <v>316</v>
      </c>
      <c r="B48" t="s">
        <v>317</v>
      </c>
      <c r="C48" t="s">
        <v>92</v>
      </c>
      <c r="D48" t="s">
        <v>72</v>
      </c>
      <c r="E48" t="s">
        <v>145</v>
      </c>
      <c r="F48" t="s">
        <v>95</v>
      </c>
      <c r="G48" t="s">
        <v>111</v>
      </c>
      <c r="H48" t="s">
        <v>46</v>
      </c>
      <c r="I48" t="s">
        <v>47</v>
      </c>
      <c r="J48">
        <v>54288.66</v>
      </c>
      <c r="K48" s="1">
        <v>45139</v>
      </c>
      <c r="L48">
        <v>2</v>
      </c>
      <c r="M48" t="s">
        <v>25</v>
      </c>
      <c r="N48" t="s">
        <v>318</v>
      </c>
      <c r="O48" t="s">
        <v>319</v>
      </c>
      <c r="P48" t="s">
        <v>28</v>
      </c>
      <c r="Q48" t="s">
        <v>29</v>
      </c>
    </row>
    <row r="49" spans="1:17" x14ac:dyDescent="0.3">
      <c r="A49" t="s">
        <v>320</v>
      </c>
      <c r="B49" t="s">
        <v>321</v>
      </c>
      <c r="C49" t="s">
        <v>322</v>
      </c>
      <c r="D49" t="s">
        <v>230</v>
      </c>
      <c r="E49" t="s">
        <v>161</v>
      </c>
      <c r="F49" t="s">
        <v>118</v>
      </c>
      <c r="G49" t="s">
        <v>218</v>
      </c>
      <c r="H49" t="s">
        <v>66</v>
      </c>
      <c r="I49" t="s">
        <v>24</v>
      </c>
      <c r="J49">
        <v>44730.42</v>
      </c>
      <c r="K49" s="1">
        <v>44789</v>
      </c>
      <c r="L49">
        <v>3</v>
      </c>
      <c r="M49" t="s">
        <v>25</v>
      </c>
      <c r="N49" t="s">
        <v>323</v>
      </c>
      <c r="O49" t="s">
        <v>324</v>
      </c>
      <c r="P49" t="s">
        <v>28</v>
      </c>
      <c r="Q49" t="s">
        <v>29</v>
      </c>
    </row>
    <row r="50" spans="1:17" x14ac:dyDescent="0.3">
      <c r="A50" t="s">
        <v>325</v>
      </c>
      <c r="B50" t="s">
        <v>326</v>
      </c>
      <c r="C50" t="s">
        <v>85</v>
      </c>
      <c r="D50" t="s">
        <v>327</v>
      </c>
      <c r="E50" t="s">
        <v>253</v>
      </c>
      <c r="F50" t="s">
        <v>132</v>
      </c>
      <c r="G50" t="s">
        <v>212</v>
      </c>
      <c r="H50" t="s">
        <v>46</v>
      </c>
      <c r="I50" t="s">
        <v>47</v>
      </c>
      <c r="J50">
        <v>45630.36</v>
      </c>
      <c r="K50" s="1">
        <v>44740</v>
      </c>
      <c r="L50">
        <v>3</v>
      </c>
      <c r="M50" t="s">
        <v>25</v>
      </c>
      <c r="N50" t="s">
        <v>328</v>
      </c>
      <c r="O50" t="s">
        <v>329</v>
      </c>
      <c r="P50" t="s">
        <v>28</v>
      </c>
      <c r="Q50" t="s">
        <v>29</v>
      </c>
    </row>
    <row r="51" spans="1:17" x14ac:dyDescent="0.3">
      <c r="A51" t="s">
        <v>330</v>
      </c>
      <c r="B51" t="s">
        <v>331</v>
      </c>
      <c r="C51" t="s">
        <v>332</v>
      </c>
      <c r="D51" t="s">
        <v>199</v>
      </c>
      <c r="E51" t="s">
        <v>117</v>
      </c>
      <c r="F51" t="s">
        <v>95</v>
      </c>
      <c r="G51" t="s">
        <v>162</v>
      </c>
      <c r="H51" t="s">
        <v>23</v>
      </c>
      <c r="I51" t="s">
        <v>47</v>
      </c>
      <c r="J51">
        <v>24477.57</v>
      </c>
      <c r="K51" s="1">
        <v>44380</v>
      </c>
      <c r="L51">
        <v>4</v>
      </c>
      <c r="M51" t="s">
        <v>25</v>
      </c>
      <c r="N51" t="s">
        <v>333</v>
      </c>
      <c r="O51" t="s">
        <v>334</v>
      </c>
      <c r="P51" t="s">
        <v>28</v>
      </c>
      <c r="Q51" t="s">
        <v>58</v>
      </c>
    </row>
    <row r="52" spans="1:17" x14ac:dyDescent="0.3">
      <c r="A52" t="s">
        <v>335</v>
      </c>
      <c r="B52" t="s">
        <v>336</v>
      </c>
      <c r="C52" t="s">
        <v>192</v>
      </c>
      <c r="D52" t="s">
        <v>150</v>
      </c>
      <c r="E52" t="s">
        <v>145</v>
      </c>
      <c r="F52" t="s">
        <v>224</v>
      </c>
      <c r="G52" t="s">
        <v>313</v>
      </c>
      <c r="H52" t="s">
        <v>66</v>
      </c>
      <c r="I52" t="s">
        <v>97</v>
      </c>
      <c r="J52">
        <v>54543.11</v>
      </c>
      <c r="K52" s="1">
        <v>45016</v>
      </c>
      <c r="L52">
        <v>3</v>
      </c>
      <c r="M52" t="s">
        <v>25</v>
      </c>
      <c r="N52" t="s">
        <v>337</v>
      </c>
      <c r="O52" t="s">
        <v>338</v>
      </c>
      <c r="P52" t="s">
        <v>28</v>
      </c>
      <c r="Q52" t="s">
        <v>58</v>
      </c>
    </row>
    <row r="53" spans="1:17" x14ac:dyDescent="0.3">
      <c r="A53" t="s">
        <v>339</v>
      </c>
      <c r="B53" t="s">
        <v>340</v>
      </c>
      <c r="C53" t="s">
        <v>252</v>
      </c>
      <c r="D53" t="s">
        <v>341</v>
      </c>
      <c r="E53" t="s">
        <v>242</v>
      </c>
      <c r="F53" t="s">
        <v>35</v>
      </c>
      <c r="G53" t="s">
        <v>36</v>
      </c>
      <c r="H53" t="s">
        <v>66</v>
      </c>
      <c r="I53" t="s">
        <v>97</v>
      </c>
      <c r="J53">
        <v>18299.62</v>
      </c>
      <c r="K53" s="1">
        <v>43857</v>
      </c>
      <c r="L53">
        <v>6</v>
      </c>
      <c r="M53" t="s">
        <v>25</v>
      </c>
      <c r="N53" t="s">
        <v>342</v>
      </c>
      <c r="O53" t="s">
        <v>343</v>
      </c>
      <c r="P53" t="s">
        <v>28</v>
      </c>
      <c r="Q53" t="s">
        <v>29</v>
      </c>
    </row>
    <row r="54" spans="1:17" x14ac:dyDescent="0.3">
      <c r="A54" t="s">
        <v>344</v>
      </c>
      <c r="B54" t="s">
        <v>345</v>
      </c>
      <c r="C54" t="s">
        <v>346</v>
      </c>
      <c r="D54" t="s">
        <v>72</v>
      </c>
      <c r="E54" t="s">
        <v>180</v>
      </c>
      <c r="F54" t="s">
        <v>224</v>
      </c>
      <c r="G54" t="s">
        <v>347</v>
      </c>
      <c r="H54" t="s">
        <v>55</v>
      </c>
      <c r="I54" t="s">
        <v>24</v>
      </c>
      <c r="J54">
        <v>29430.52</v>
      </c>
      <c r="K54" s="1">
        <v>44726</v>
      </c>
      <c r="L54">
        <v>3</v>
      </c>
      <c r="M54" t="s">
        <v>152</v>
      </c>
      <c r="N54" t="s">
        <v>348</v>
      </c>
      <c r="O54" t="s">
        <v>349</v>
      </c>
      <c r="P54" t="s">
        <v>28</v>
      </c>
      <c r="Q54" t="s">
        <v>29</v>
      </c>
    </row>
    <row r="55" spans="1:17" x14ac:dyDescent="0.3">
      <c r="A55" t="s">
        <v>350</v>
      </c>
      <c r="B55" t="s">
        <v>351</v>
      </c>
      <c r="C55" t="s">
        <v>144</v>
      </c>
      <c r="D55" t="s">
        <v>94</v>
      </c>
      <c r="E55" t="s">
        <v>236</v>
      </c>
      <c r="F55" t="s">
        <v>35</v>
      </c>
      <c r="G55" t="s">
        <v>45</v>
      </c>
      <c r="H55" t="s">
        <v>46</v>
      </c>
      <c r="I55" t="s">
        <v>24</v>
      </c>
      <c r="J55">
        <v>35328.26</v>
      </c>
      <c r="K55" s="1">
        <v>45474</v>
      </c>
      <c r="L55">
        <v>1</v>
      </c>
      <c r="M55" t="s">
        <v>25</v>
      </c>
      <c r="N55" t="s">
        <v>352</v>
      </c>
      <c r="O55" t="s">
        <v>353</v>
      </c>
      <c r="P55" t="s">
        <v>28</v>
      </c>
      <c r="Q55" t="s">
        <v>29</v>
      </c>
    </row>
    <row r="56" spans="1:17" x14ac:dyDescent="0.3">
      <c r="A56" t="s">
        <v>354</v>
      </c>
      <c r="B56" t="s">
        <v>355</v>
      </c>
      <c r="C56" t="s">
        <v>346</v>
      </c>
      <c r="D56" t="s">
        <v>20</v>
      </c>
      <c r="E56" t="s">
        <v>150</v>
      </c>
      <c r="F56" t="s">
        <v>35</v>
      </c>
      <c r="G56" t="s">
        <v>45</v>
      </c>
      <c r="H56" t="s">
        <v>66</v>
      </c>
      <c r="I56" t="s">
        <v>97</v>
      </c>
      <c r="J56">
        <v>22008.81</v>
      </c>
      <c r="K56" s="1">
        <v>45150</v>
      </c>
      <c r="L56">
        <v>2</v>
      </c>
      <c r="M56" t="s">
        <v>25</v>
      </c>
      <c r="N56" t="s">
        <v>356</v>
      </c>
      <c r="O56" t="s">
        <v>357</v>
      </c>
      <c r="P56" t="s">
        <v>28</v>
      </c>
      <c r="Q56" t="s">
        <v>29</v>
      </c>
    </row>
    <row r="57" spans="1:17" x14ac:dyDescent="0.3">
      <c r="A57" t="s">
        <v>358</v>
      </c>
      <c r="B57" t="s">
        <v>359</v>
      </c>
      <c r="C57" t="s">
        <v>360</v>
      </c>
      <c r="D57" t="s">
        <v>259</v>
      </c>
      <c r="E57" t="s">
        <v>361</v>
      </c>
      <c r="F57" t="s">
        <v>132</v>
      </c>
      <c r="G57" t="s">
        <v>212</v>
      </c>
      <c r="H57" t="s">
        <v>23</v>
      </c>
      <c r="I57" t="s">
        <v>37</v>
      </c>
      <c r="J57">
        <v>34784.82</v>
      </c>
      <c r="K57" s="1">
        <v>44255</v>
      </c>
      <c r="L57">
        <v>5</v>
      </c>
      <c r="M57" t="s">
        <v>25</v>
      </c>
      <c r="N57" t="s">
        <v>362</v>
      </c>
      <c r="O57" t="s">
        <v>363</v>
      </c>
      <c r="P57" t="s">
        <v>28</v>
      </c>
      <c r="Q57" t="s">
        <v>29</v>
      </c>
    </row>
    <row r="58" spans="1:17" x14ac:dyDescent="0.3">
      <c r="A58" t="s">
        <v>364</v>
      </c>
      <c r="B58" t="s">
        <v>365</v>
      </c>
      <c r="C58" t="s">
        <v>61</v>
      </c>
      <c r="D58" t="s">
        <v>34</v>
      </c>
      <c r="E58" t="s">
        <v>34</v>
      </c>
      <c r="F58" t="s">
        <v>22</v>
      </c>
      <c r="G58" t="s">
        <v>181</v>
      </c>
      <c r="H58" t="s">
        <v>55</v>
      </c>
      <c r="I58" t="s">
        <v>97</v>
      </c>
      <c r="J58">
        <v>38145.24</v>
      </c>
      <c r="K58" s="1">
        <v>44308</v>
      </c>
      <c r="L58">
        <v>5</v>
      </c>
      <c r="M58" t="s">
        <v>25</v>
      </c>
      <c r="N58" t="s">
        <v>366</v>
      </c>
      <c r="O58" t="s">
        <v>367</v>
      </c>
      <c r="P58" t="s">
        <v>28</v>
      </c>
      <c r="Q58" t="s">
        <v>58</v>
      </c>
    </row>
    <row r="59" spans="1:17" x14ac:dyDescent="0.3">
      <c r="A59" t="s">
        <v>368</v>
      </c>
      <c r="B59" t="s">
        <v>369</v>
      </c>
      <c r="C59" t="s">
        <v>252</v>
      </c>
      <c r="D59" t="s">
        <v>53</v>
      </c>
      <c r="E59" t="s">
        <v>103</v>
      </c>
      <c r="F59" t="s">
        <v>22</v>
      </c>
      <c r="G59" t="s">
        <v>260</v>
      </c>
      <c r="H59" t="s">
        <v>23</v>
      </c>
      <c r="I59" t="s">
        <v>47</v>
      </c>
      <c r="J59">
        <v>30156.7</v>
      </c>
      <c r="K59" s="1">
        <v>45326</v>
      </c>
      <c r="L59">
        <v>2</v>
      </c>
      <c r="M59" t="s">
        <v>25</v>
      </c>
      <c r="N59" t="s">
        <v>370</v>
      </c>
      <c r="O59" t="s">
        <v>371</v>
      </c>
      <c r="P59" t="s">
        <v>28</v>
      </c>
      <c r="Q59" t="s">
        <v>29</v>
      </c>
    </row>
    <row r="60" spans="1:17" x14ac:dyDescent="0.3">
      <c r="A60" t="s">
        <v>372</v>
      </c>
      <c r="B60" t="s">
        <v>373</v>
      </c>
      <c r="C60" t="s">
        <v>52</v>
      </c>
      <c r="D60" t="s">
        <v>117</v>
      </c>
      <c r="E60" t="s">
        <v>175</v>
      </c>
      <c r="F60" t="s">
        <v>64</v>
      </c>
      <c r="G60" t="s">
        <v>65</v>
      </c>
      <c r="H60" t="s">
        <v>23</v>
      </c>
      <c r="I60" t="s">
        <v>97</v>
      </c>
      <c r="J60">
        <v>19938.759999999998</v>
      </c>
      <c r="K60" s="1">
        <v>44109</v>
      </c>
      <c r="L60">
        <v>5</v>
      </c>
      <c r="M60" t="s">
        <v>25</v>
      </c>
      <c r="N60" t="s">
        <v>374</v>
      </c>
      <c r="O60" t="s">
        <v>375</v>
      </c>
      <c r="P60" t="s">
        <v>28</v>
      </c>
      <c r="Q60" t="s">
        <v>29</v>
      </c>
    </row>
    <row r="61" spans="1:17" x14ac:dyDescent="0.3">
      <c r="A61" t="s">
        <v>376</v>
      </c>
      <c r="B61" t="s">
        <v>377</v>
      </c>
      <c r="C61" t="s">
        <v>360</v>
      </c>
      <c r="D61" t="s">
        <v>124</v>
      </c>
      <c r="E61" t="s">
        <v>200</v>
      </c>
      <c r="F61" t="s">
        <v>73</v>
      </c>
      <c r="G61" t="s">
        <v>74</v>
      </c>
      <c r="H61" t="s">
        <v>66</v>
      </c>
      <c r="I61" t="s">
        <v>37</v>
      </c>
      <c r="J61">
        <v>33772.120000000003</v>
      </c>
      <c r="K61" s="1">
        <v>45407</v>
      </c>
      <c r="L61">
        <v>2</v>
      </c>
      <c r="M61" t="s">
        <v>25</v>
      </c>
      <c r="N61" t="s">
        <v>378</v>
      </c>
      <c r="O61" t="s">
        <v>379</v>
      </c>
      <c r="P61" t="s">
        <v>28</v>
      </c>
      <c r="Q61" t="s">
        <v>29</v>
      </c>
    </row>
    <row r="62" spans="1:17" x14ac:dyDescent="0.3">
      <c r="A62" t="s">
        <v>380</v>
      </c>
      <c r="B62" t="s">
        <v>381</v>
      </c>
      <c r="C62" t="s">
        <v>192</v>
      </c>
      <c r="D62" t="s">
        <v>124</v>
      </c>
      <c r="E62" t="s">
        <v>193</v>
      </c>
      <c r="F62" t="s">
        <v>95</v>
      </c>
      <c r="G62" t="s">
        <v>96</v>
      </c>
      <c r="H62" t="s">
        <v>55</v>
      </c>
      <c r="I62" t="s">
        <v>47</v>
      </c>
      <c r="J62">
        <v>33912.589999999997</v>
      </c>
      <c r="K62" s="1">
        <v>43810</v>
      </c>
      <c r="L62">
        <v>6</v>
      </c>
      <c r="M62" t="s">
        <v>25</v>
      </c>
      <c r="N62" t="s">
        <v>382</v>
      </c>
      <c r="O62" t="s">
        <v>383</v>
      </c>
      <c r="P62" t="s">
        <v>28</v>
      </c>
      <c r="Q62" t="s">
        <v>58</v>
      </c>
    </row>
    <row r="63" spans="1:17" x14ac:dyDescent="0.3">
      <c r="A63" t="s">
        <v>384</v>
      </c>
      <c r="B63" t="s">
        <v>385</v>
      </c>
      <c r="C63" t="s">
        <v>346</v>
      </c>
      <c r="D63" t="s">
        <v>236</v>
      </c>
      <c r="E63" t="s">
        <v>103</v>
      </c>
      <c r="F63" t="s">
        <v>132</v>
      </c>
      <c r="G63" t="s">
        <v>212</v>
      </c>
      <c r="H63" t="s">
        <v>55</v>
      </c>
      <c r="I63" t="s">
        <v>37</v>
      </c>
      <c r="J63">
        <v>21572.880000000001</v>
      </c>
      <c r="K63" s="1">
        <v>44115</v>
      </c>
      <c r="L63">
        <v>5</v>
      </c>
      <c r="M63" t="s">
        <v>25</v>
      </c>
      <c r="N63" t="s">
        <v>386</v>
      </c>
      <c r="O63" t="s">
        <v>387</v>
      </c>
      <c r="P63" t="s">
        <v>28</v>
      </c>
      <c r="Q63" t="s">
        <v>29</v>
      </c>
    </row>
    <row r="64" spans="1:17" x14ac:dyDescent="0.3">
      <c r="A64" t="s">
        <v>388</v>
      </c>
      <c r="B64" t="s">
        <v>389</v>
      </c>
      <c r="C64" t="s">
        <v>52</v>
      </c>
      <c r="D64" t="s">
        <v>161</v>
      </c>
      <c r="E64" t="s">
        <v>62</v>
      </c>
      <c r="F64" t="s">
        <v>22</v>
      </c>
      <c r="G64" t="s">
        <v>22</v>
      </c>
      <c r="H64" t="s">
        <v>66</v>
      </c>
      <c r="I64" t="s">
        <v>47</v>
      </c>
      <c r="J64">
        <v>49349.17</v>
      </c>
      <c r="K64" s="1">
        <v>44911</v>
      </c>
      <c r="L64">
        <v>3</v>
      </c>
      <c r="M64" t="s">
        <v>25</v>
      </c>
      <c r="N64" t="s">
        <v>390</v>
      </c>
      <c r="O64" t="s">
        <v>391</v>
      </c>
      <c r="P64" t="s">
        <v>28</v>
      </c>
      <c r="Q64" t="s">
        <v>29</v>
      </c>
    </row>
    <row r="65" spans="1:17" x14ac:dyDescent="0.3">
      <c r="A65" t="s">
        <v>392</v>
      </c>
      <c r="B65" t="s">
        <v>393</v>
      </c>
      <c r="C65" t="s">
        <v>265</v>
      </c>
      <c r="D65" t="s">
        <v>242</v>
      </c>
      <c r="E65" t="s">
        <v>72</v>
      </c>
      <c r="F65" t="s">
        <v>35</v>
      </c>
      <c r="G65" t="s">
        <v>125</v>
      </c>
      <c r="H65" t="s">
        <v>46</v>
      </c>
      <c r="I65" t="s">
        <v>24</v>
      </c>
      <c r="J65">
        <v>24712.01</v>
      </c>
      <c r="K65" s="1">
        <v>45335</v>
      </c>
      <c r="L65">
        <v>2</v>
      </c>
      <c r="M65" t="s">
        <v>25</v>
      </c>
      <c r="N65" t="s">
        <v>394</v>
      </c>
      <c r="O65" t="s">
        <v>395</v>
      </c>
      <c r="P65" t="s">
        <v>28</v>
      </c>
      <c r="Q65" t="s">
        <v>29</v>
      </c>
    </row>
    <row r="66" spans="1:17" x14ac:dyDescent="0.3">
      <c r="A66" t="s">
        <v>396</v>
      </c>
      <c r="B66" t="s">
        <v>397</v>
      </c>
      <c r="C66" t="s">
        <v>360</v>
      </c>
      <c r="D66" t="s">
        <v>180</v>
      </c>
      <c r="E66" t="s">
        <v>211</v>
      </c>
      <c r="F66" t="s">
        <v>132</v>
      </c>
      <c r="G66" t="s">
        <v>212</v>
      </c>
      <c r="H66" t="s">
        <v>23</v>
      </c>
      <c r="I66" t="s">
        <v>47</v>
      </c>
      <c r="J66">
        <v>45914.13</v>
      </c>
      <c r="K66" s="1">
        <v>45527</v>
      </c>
      <c r="L66">
        <v>1</v>
      </c>
      <c r="M66" t="s">
        <v>25</v>
      </c>
      <c r="N66" t="s">
        <v>398</v>
      </c>
      <c r="O66" t="s">
        <v>399</v>
      </c>
      <c r="P66" t="s">
        <v>28</v>
      </c>
      <c r="Q66" t="s">
        <v>58</v>
      </c>
    </row>
    <row r="67" spans="1:17" x14ac:dyDescent="0.3">
      <c r="A67" t="s">
        <v>400</v>
      </c>
      <c r="B67" t="s">
        <v>401</v>
      </c>
      <c r="C67" t="s">
        <v>402</v>
      </c>
      <c r="D67" t="s">
        <v>341</v>
      </c>
      <c r="E67" t="s">
        <v>150</v>
      </c>
      <c r="F67" t="s">
        <v>118</v>
      </c>
      <c r="G67" t="s">
        <v>119</v>
      </c>
      <c r="H67" t="s">
        <v>46</v>
      </c>
      <c r="I67" t="s">
        <v>24</v>
      </c>
      <c r="J67">
        <v>26159.18</v>
      </c>
      <c r="K67" s="1">
        <v>44401</v>
      </c>
      <c r="L67">
        <v>4</v>
      </c>
      <c r="M67" t="s">
        <v>152</v>
      </c>
      <c r="N67" t="s">
        <v>403</v>
      </c>
      <c r="O67" t="s">
        <v>404</v>
      </c>
      <c r="P67" t="s">
        <v>28</v>
      </c>
      <c r="Q67" t="s">
        <v>58</v>
      </c>
    </row>
    <row r="68" spans="1:17" x14ac:dyDescent="0.3">
      <c r="A68" t="s">
        <v>405</v>
      </c>
      <c r="B68" t="s">
        <v>406</v>
      </c>
      <c r="C68" t="s">
        <v>235</v>
      </c>
      <c r="D68" t="s">
        <v>217</v>
      </c>
      <c r="E68" t="s">
        <v>145</v>
      </c>
      <c r="F68" t="s">
        <v>22</v>
      </c>
      <c r="G68" t="s">
        <v>260</v>
      </c>
      <c r="H68" t="s">
        <v>46</v>
      </c>
      <c r="I68" t="s">
        <v>24</v>
      </c>
      <c r="J68">
        <v>32691.63</v>
      </c>
      <c r="K68" s="1">
        <v>44109</v>
      </c>
      <c r="L68">
        <v>5</v>
      </c>
      <c r="M68" t="s">
        <v>152</v>
      </c>
      <c r="N68" t="s">
        <v>407</v>
      </c>
      <c r="O68" t="s">
        <v>408</v>
      </c>
      <c r="P68" t="s">
        <v>28</v>
      </c>
      <c r="Q68" t="s">
        <v>58</v>
      </c>
    </row>
    <row r="69" spans="1:17" x14ac:dyDescent="0.3">
      <c r="A69" t="s">
        <v>409</v>
      </c>
      <c r="B69" t="s">
        <v>410</v>
      </c>
      <c r="C69" t="s">
        <v>19</v>
      </c>
      <c r="D69" t="s">
        <v>211</v>
      </c>
      <c r="E69" t="s">
        <v>93</v>
      </c>
      <c r="F69" t="s">
        <v>118</v>
      </c>
      <c r="G69" t="s">
        <v>119</v>
      </c>
      <c r="H69" t="s">
        <v>46</v>
      </c>
      <c r="I69" t="s">
        <v>24</v>
      </c>
      <c r="J69">
        <v>34158.339999999997</v>
      </c>
      <c r="K69" s="1">
        <v>45412</v>
      </c>
      <c r="L69">
        <v>1</v>
      </c>
      <c r="M69" t="s">
        <v>25</v>
      </c>
      <c r="N69" t="s">
        <v>411</v>
      </c>
      <c r="O69" t="s">
        <v>412</v>
      </c>
      <c r="P69" t="s">
        <v>28</v>
      </c>
      <c r="Q69" t="s">
        <v>29</v>
      </c>
    </row>
    <row r="70" spans="1:17" x14ac:dyDescent="0.3">
      <c r="A70" t="s">
        <v>413</v>
      </c>
      <c r="B70" t="s">
        <v>414</v>
      </c>
      <c r="C70" t="s">
        <v>247</v>
      </c>
      <c r="D70" t="s">
        <v>361</v>
      </c>
      <c r="E70" t="s">
        <v>86</v>
      </c>
      <c r="F70" t="s">
        <v>22</v>
      </c>
      <c r="G70" t="s">
        <v>181</v>
      </c>
      <c r="H70" t="s">
        <v>46</v>
      </c>
      <c r="I70" t="s">
        <v>47</v>
      </c>
      <c r="J70">
        <v>26741.95</v>
      </c>
      <c r="K70" s="1">
        <v>45329</v>
      </c>
      <c r="L70">
        <v>2</v>
      </c>
      <c r="M70" t="s">
        <v>25</v>
      </c>
      <c r="N70" t="s">
        <v>415</v>
      </c>
      <c r="O70" t="s">
        <v>416</v>
      </c>
      <c r="P70" t="s">
        <v>28</v>
      </c>
      <c r="Q70" t="s">
        <v>29</v>
      </c>
    </row>
    <row r="71" spans="1:17" x14ac:dyDescent="0.3">
      <c r="A71" t="s">
        <v>417</v>
      </c>
      <c r="B71" t="s">
        <v>418</v>
      </c>
      <c r="C71" t="s">
        <v>419</v>
      </c>
      <c r="D71" t="s">
        <v>34</v>
      </c>
      <c r="E71" t="s">
        <v>103</v>
      </c>
      <c r="F71" t="s">
        <v>118</v>
      </c>
      <c r="G71" t="s">
        <v>169</v>
      </c>
      <c r="H71" t="s">
        <v>46</v>
      </c>
      <c r="I71" t="s">
        <v>97</v>
      </c>
      <c r="J71">
        <v>39882.53</v>
      </c>
      <c r="K71" s="1">
        <v>44908</v>
      </c>
      <c r="L71">
        <v>3</v>
      </c>
      <c r="M71" t="s">
        <v>25</v>
      </c>
      <c r="N71" t="s">
        <v>420</v>
      </c>
      <c r="O71" t="s">
        <v>421</v>
      </c>
      <c r="P71" t="s">
        <v>28</v>
      </c>
      <c r="Q71" t="s">
        <v>58</v>
      </c>
    </row>
    <row r="72" spans="1:17" x14ac:dyDescent="0.3">
      <c r="A72" t="s">
        <v>422</v>
      </c>
      <c r="B72" t="s">
        <v>423</v>
      </c>
      <c r="C72" t="s">
        <v>42</v>
      </c>
      <c r="D72" t="s">
        <v>124</v>
      </c>
      <c r="E72" t="s">
        <v>175</v>
      </c>
      <c r="F72" t="s">
        <v>73</v>
      </c>
      <c r="G72" t="s">
        <v>424</v>
      </c>
      <c r="H72" t="s">
        <v>23</v>
      </c>
      <c r="I72" t="s">
        <v>97</v>
      </c>
      <c r="J72">
        <v>40385.22</v>
      </c>
      <c r="K72" s="1">
        <v>44602</v>
      </c>
      <c r="L72">
        <v>4</v>
      </c>
      <c r="M72" t="s">
        <v>25</v>
      </c>
      <c r="N72" t="s">
        <v>425</v>
      </c>
      <c r="O72" t="s">
        <v>426</v>
      </c>
      <c r="P72" t="s">
        <v>28</v>
      </c>
      <c r="Q72" t="s">
        <v>58</v>
      </c>
    </row>
    <row r="73" spans="1:17" x14ac:dyDescent="0.3">
      <c r="A73" t="s">
        <v>427</v>
      </c>
      <c r="B73" t="s">
        <v>428</v>
      </c>
      <c r="C73" t="s">
        <v>429</v>
      </c>
      <c r="D73" t="s">
        <v>253</v>
      </c>
      <c r="E73" t="s">
        <v>93</v>
      </c>
      <c r="F73" t="s">
        <v>64</v>
      </c>
      <c r="G73" t="s">
        <v>430</v>
      </c>
      <c r="H73" t="s">
        <v>46</v>
      </c>
      <c r="I73" t="s">
        <v>37</v>
      </c>
      <c r="J73">
        <v>33124.47</v>
      </c>
      <c r="K73" s="1">
        <v>44936</v>
      </c>
      <c r="L73">
        <v>3</v>
      </c>
      <c r="M73" t="s">
        <v>25</v>
      </c>
      <c r="N73" t="s">
        <v>431</v>
      </c>
      <c r="O73" t="s">
        <v>432</v>
      </c>
      <c r="P73" t="s">
        <v>28</v>
      </c>
      <c r="Q73" t="s">
        <v>58</v>
      </c>
    </row>
    <row r="74" spans="1:17" x14ac:dyDescent="0.3">
      <c r="A74" t="s">
        <v>433</v>
      </c>
      <c r="B74" t="s">
        <v>434</v>
      </c>
      <c r="C74" t="s">
        <v>322</v>
      </c>
      <c r="D74" t="s">
        <v>54</v>
      </c>
      <c r="E74" t="s">
        <v>199</v>
      </c>
      <c r="F74" t="s">
        <v>64</v>
      </c>
      <c r="G74" t="s">
        <v>430</v>
      </c>
      <c r="H74" t="s">
        <v>66</v>
      </c>
      <c r="I74" t="s">
        <v>47</v>
      </c>
      <c r="J74">
        <v>40016.53</v>
      </c>
      <c r="K74" s="1">
        <v>43707</v>
      </c>
      <c r="L74">
        <v>6</v>
      </c>
      <c r="M74" t="s">
        <v>25</v>
      </c>
      <c r="N74" t="s">
        <v>435</v>
      </c>
      <c r="O74" t="s">
        <v>436</v>
      </c>
      <c r="P74" t="s">
        <v>28</v>
      </c>
      <c r="Q74" t="s">
        <v>29</v>
      </c>
    </row>
    <row r="75" spans="1:17" x14ac:dyDescent="0.3">
      <c r="A75" t="s">
        <v>437</v>
      </c>
      <c r="B75" t="s">
        <v>438</v>
      </c>
      <c r="C75" t="s">
        <v>61</v>
      </c>
      <c r="D75" t="s">
        <v>230</v>
      </c>
      <c r="E75" t="s">
        <v>80</v>
      </c>
      <c r="F75" t="s">
        <v>118</v>
      </c>
      <c r="G75" t="s">
        <v>218</v>
      </c>
      <c r="H75" t="s">
        <v>23</v>
      </c>
      <c r="I75" t="s">
        <v>47</v>
      </c>
      <c r="J75">
        <v>23732.97</v>
      </c>
      <c r="K75" s="1">
        <v>45023</v>
      </c>
      <c r="L75">
        <v>3</v>
      </c>
      <c r="M75" t="s">
        <v>25</v>
      </c>
      <c r="N75" t="s">
        <v>439</v>
      </c>
      <c r="O75" t="s">
        <v>440</v>
      </c>
      <c r="P75" t="s">
        <v>28</v>
      </c>
      <c r="Q75" t="s">
        <v>29</v>
      </c>
    </row>
    <row r="76" spans="1:17" x14ac:dyDescent="0.3">
      <c r="A76" t="s">
        <v>441</v>
      </c>
      <c r="B76" t="s">
        <v>442</v>
      </c>
      <c r="C76" t="s">
        <v>258</v>
      </c>
      <c r="D76" t="s">
        <v>34</v>
      </c>
      <c r="E76" t="s">
        <v>327</v>
      </c>
      <c r="F76" t="s">
        <v>95</v>
      </c>
      <c r="G76" t="s">
        <v>111</v>
      </c>
      <c r="H76" t="s">
        <v>23</v>
      </c>
      <c r="I76" t="s">
        <v>37</v>
      </c>
      <c r="J76">
        <v>40592.03</v>
      </c>
      <c r="K76" s="1">
        <v>44088</v>
      </c>
      <c r="L76">
        <v>5</v>
      </c>
      <c r="M76" t="s">
        <v>25</v>
      </c>
      <c r="N76" t="s">
        <v>443</v>
      </c>
      <c r="O76" t="s">
        <v>444</v>
      </c>
      <c r="P76" t="s">
        <v>28</v>
      </c>
      <c r="Q76" t="s">
        <v>58</v>
      </c>
    </row>
    <row r="77" spans="1:17" x14ac:dyDescent="0.3">
      <c r="A77" t="s">
        <v>445</v>
      </c>
      <c r="B77" t="s">
        <v>446</v>
      </c>
      <c r="C77" t="s">
        <v>447</v>
      </c>
      <c r="D77" t="s">
        <v>217</v>
      </c>
      <c r="E77" t="s">
        <v>193</v>
      </c>
      <c r="F77" t="s">
        <v>95</v>
      </c>
      <c r="G77" t="s">
        <v>96</v>
      </c>
      <c r="H77" t="s">
        <v>23</v>
      </c>
      <c r="I77" t="s">
        <v>47</v>
      </c>
      <c r="J77">
        <v>50301.07</v>
      </c>
      <c r="K77" s="1">
        <v>45522</v>
      </c>
      <c r="L77">
        <v>1</v>
      </c>
      <c r="M77" t="s">
        <v>25</v>
      </c>
      <c r="N77" t="s">
        <v>448</v>
      </c>
      <c r="O77" t="s">
        <v>449</v>
      </c>
      <c r="P77" t="s">
        <v>28</v>
      </c>
      <c r="Q77" t="s">
        <v>29</v>
      </c>
    </row>
    <row r="78" spans="1:17" x14ac:dyDescent="0.3">
      <c r="A78" t="s">
        <v>450</v>
      </c>
      <c r="B78" t="s">
        <v>451</v>
      </c>
      <c r="C78" t="s">
        <v>130</v>
      </c>
      <c r="D78" t="s">
        <v>33</v>
      </c>
      <c r="E78" t="s">
        <v>34</v>
      </c>
      <c r="F78" t="s">
        <v>64</v>
      </c>
      <c r="G78" t="s">
        <v>65</v>
      </c>
      <c r="H78" t="s">
        <v>66</v>
      </c>
      <c r="I78" t="s">
        <v>24</v>
      </c>
      <c r="J78">
        <v>32668.799999999999</v>
      </c>
      <c r="K78" s="1">
        <v>44863</v>
      </c>
      <c r="L78">
        <v>3</v>
      </c>
      <c r="M78" t="s">
        <v>25</v>
      </c>
      <c r="N78" t="s">
        <v>452</v>
      </c>
      <c r="O78" t="s">
        <v>453</v>
      </c>
      <c r="P78" t="s">
        <v>28</v>
      </c>
      <c r="Q78" t="s">
        <v>58</v>
      </c>
    </row>
    <row r="79" spans="1:17" x14ac:dyDescent="0.3">
      <c r="A79" t="s">
        <v>454</v>
      </c>
      <c r="B79" t="s">
        <v>455</v>
      </c>
      <c r="C79" t="s">
        <v>456</v>
      </c>
      <c r="D79" t="s">
        <v>139</v>
      </c>
      <c r="E79" t="s">
        <v>72</v>
      </c>
      <c r="F79" t="s">
        <v>118</v>
      </c>
      <c r="G79" t="s">
        <v>169</v>
      </c>
      <c r="H79" t="s">
        <v>55</v>
      </c>
      <c r="I79" t="s">
        <v>24</v>
      </c>
      <c r="J79">
        <v>18703.14</v>
      </c>
      <c r="K79" s="1">
        <v>45187</v>
      </c>
      <c r="L79">
        <v>2</v>
      </c>
      <c r="M79" t="s">
        <v>25</v>
      </c>
      <c r="N79" t="s">
        <v>457</v>
      </c>
      <c r="O79" t="s">
        <v>458</v>
      </c>
      <c r="P79" t="s">
        <v>28</v>
      </c>
      <c r="Q79" t="s">
        <v>29</v>
      </c>
    </row>
    <row r="80" spans="1:17" x14ac:dyDescent="0.3">
      <c r="A80" t="s">
        <v>459</v>
      </c>
      <c r="B80" t="s">
        <v>460</v>
      </c>
      <c r="C80" t="s">
        <v>241</v>
      </c>
      <c r="D80" t="s">
        <v>361</v>
      </c>
      <c r="E80" t="s">
        <v>259</v>
      </c>
      <c r="F80" t="s">
        <v>73</v>
      </c>
      <c r="G80" t="s">
        <v>87</v>
      </c>
      <c r="H80" t="s">
        <v>23</v>
      </c>
      <c r="I80" t="s">
        <v>47</v>
      </c>
      <c r="J80">
        <v>28777.06</v>
      </c>
      <c r="K80" s="1">
        <v>45625</v>
      </c>
      <c r="L80">
        <v>1</v>
      </c>
      <c r="M80" t="s">
        <v>25</v>
      </c>
      <c r="N80" t="s">
        <v>461</v>
      </c>
      <c r="O80" t="s">
        <v>462</v>
      </c>
      <c r="P80" t="s">
        <v>28</v>
      </c>
      <c r="Q80" t="s">
        <v>29</v>
      </c>
    </row>
    <row r="81" spans="1:17" x14ac:dyDescent="0.3">
      <c r="A81" t="s">
        <v>463</v>
      </c>
      <c r="B81" t="s">
        <v>464</v>
      </c>
      <c r="C81" t="s">
        <v>271</v>
      </c>
      <c r="D81" t="s">
        <v>94</v>
      </c>
      <c r="E81" t="s">
        <v>20</v>
      </c>
      <c r="F81" t="s">
        <v>73</v>
      </c>
      <c r="G81" t="s">
        <v>424</v>
      </c>
      <c r="H81" t="s">
        <v>55</v>
      </c>
      <c r="I81" t="s">
        <v>97</v>
      </c>
      <c r="J81">
        <v>26921.66</v>
      </c>
      <c r="K81" s="1">
        <v>44283</v>
      </c>
      <c r="L81">
        <v>5</v>
      </c>
      <c r="M81" t="s">
        <v>25</v>
      </c>
      <c r="N81" t="s">
        <v>465</v>
      </c>
      <c r="O81" t="s">
        <v>466</v>
      </c>
      <c r="P81" t="s">
        <v>28</v>
      </c>
      <c r="Q81" t="s">
        <v>58</v>
      </c>
    </row>
    <row r="82" spans="1:17" x14ac:dyDescent="0.3">
      <c r="A82" t="s">
        <v>467</v>
      </c>
      <c r="B82" t="s">
        <v>468</v>
      </c>
      <c r="C82" t="s">
        <v>235</v>
      </c>
      <c r="D82" t="s">
        <v>103</v>
      </c>
      <c r="E82" t="s">
        <v>63</v>
      </c>
      <c r="F82" t="s">
        <v>118</v>
      </c>
      <c r="G82" t="s">
        <v>218</v>
      </c>
      <c r="H82" t="s">
        <v>46</v>
      </c>
      <c r="I82" t="s">
        <v>47</v>
      </c>
      <c r="J82">
        <v>19620.830000000002</v>
      </c>
      <c r="K82" s="1">
        <v>45220</v>
      </c>
      <c r="L82">
        <v>2</v>
      </c>
      <c r="M82" t="s">
        <v>25</v>
      </c>
      <c r="N82" t="s">
        <v>469</v>
      </c>
      <c r="O82" t="s">
        <v>470</v>
      </c>
      <c r="P82" t="s">
        <v>28</v>
      </c>
      <c r="Q82" t="s">
        <v>58</v>
      </c>
    </row>
    <row r="83" spans="1:17" x14ac:dyDescent="0.3">
      <c r="A83" t="s">
        <v>471</v>
      </c>
      <c r="B83" t="s">
        <v>472</v>
      </c>
      <c r="C83" t="s">
        <v>447</v>
      </c>
      <c r="D83" t="s">
        <v>277</v>
      </c>
      <c r="E83" t="s">
        <v>200</v>
      </c>
      <c r="F83" t="s">
        <v>64</v>
      </c>
      <c r="G83" t="s">
        <v>430</v>
      </c>
      <c r="H83" t="s">
        <v>55</v>
      </c>
      <c r="I83" t="s">
        <v>97</v>
      </c>
      <c r="J83">
        <v>34167.199999999997</v>
      </c>
      <c r="K83" s="1">
        <v>44809</v>
      </c>
      <c r="L83">
        <v>3</v>
      </c>
      <c r="M83" t="s">
        <v>25</v>
      </c>
      <c r="N83" t="s">
        <v>473</v>
      </c>
      <c r="O83" t="s">
        <v>474</v>
      </c>
      <c r="P83" t="s">
        <v>28</v>
      </c>
      <c r="Q83" t="s">
        <v>58</v>
      </c>
    </row>
    <row r="84" spans="1:17" x14ac:dyDescent="0.3">
      <c r="A84" t="s">
        <v>475</v>
      </c>
      <c r="B84" t="s">
        <v>476</v>
      </c>
      <c r="C84" t="s">
        <v>477</v>
      </c>
      <c r="D84" t="s">
        <v>131</v>
      </c>
      <c r="E84" t="s">
        <v>145</v>
      </c>
      <c r="F84" t="s">
        <v>35</v>
      </c>
      <c r="G84" t="s">
        <v>125</v>
      </c>
      <c r="H84" t="s">
        <v>55</v>
      </c>
      <c r="I84" t="s">
        <v>24</v>
      </c>
      <c r="J84">
        <v>30133.040000000001</v>
      </c>
      <c r="K84" s="1">
        <v>45023</v>
      </c>
      <c r="L84">
        <v>3</v>
      </c>
      <c r="M84" t="s">
        <v>25</v>
      </c>
      <c r="N84" t="s">
        <v>478</v>
      </c>
      <c r="O84" t="s">
        <v>479</v>
      </c>
      <c r="P84" t="s">
        <v>28</v>
      </c>
      <c r="Q84" t="s">
        <v>29</v>
      </c>
    </row>
    <row r="85" spans="1:17" x14ac:dyDescent="0.3">
      <c r="A85" t="s">
        <v>480</v>
      </c>
      <c r="B85" t="s">
        <v>481</v>
      </c>
      <c r="C85" t="s">
        <v>241</v>
      </c>
      <c r="D85" t="s">
        <v>54</v>
      </c>
      <c r="E85" t="s">
        <v>151</v>
      </c>
      <c r="F85" t="s">
        <v>95</v>
      </c>
      <c r="G85" t="s">
        <v>111</v>
      </c>
      <c r="H85" t="s">
        <v>23</v>
      </c>
      <c r="I85" t="s">
        <v>24</v>
      </c>
      <c r="J85">
        <v>23282.84</v>
      </c>
      <c r="K85" s="1">
        <v>44384</v>
      </c>
      <c r="L85">
        <v>4</v>
      </c>
      <c r="M85" t="s">
        <v>25</v>
      </c>
      <c r="N85" t="s">
        <v>482</v>
      </c>
      <c r="O85" t="s">
        <v>483</v>
      </c>
      <c r="P85" t="s">
        <v>28</v>
      </c>
      <c r="Q85" t="s">
        <v>29</v>
      </c>
    </row>
    <row r="86" spans="1:17" x14ac:dyDescent="0.3">
      <c r="A86" t="s">
        <v>484</v>
      </c>
      <c r="B86" t="s">
        <v>485</v>
      </c>
      <c r="C86" t="s">
        <v>346</v>
      </c>
      <c r="D86" t="s">
        <v>34</v>
      </c>
      <c r="E86" t="s">
        <v>486</v>
      </c>
      <c r="F86" t="s">
        <v>64</v>
      </c>
      <c r="G86" t="s">
        <v>430</v>
      </c>
      <c r="H86" t="s">
        <v>55</v>
      </c>
      <c r="I86" t="s">
        <v>47</v>
      </c>
      <c r="J86">
        <v>37590.019999999997</v>
      </c>
      <c r="K86" s="1">
        <v>44813</v>
      </c>
      <c r="L86">
        <v>3</v>
      </c>
      <c r="M86" t="s">
        <v>25</v>
      </c>
      <c r="N86" t="s">
        <v>487</v>
      </c>
      <c r="O86" t="s">
        <v>488</v>
      </c>
      <c r="P86" t="s">
        <v>28</v>
      </c>
      <c r="Q86" t="s">
        <v>58</v>
      </c>
    </row>
    <row r="87" spans="1:17" x14ac:dyDescent="0.3">
      <c r="A87" t="s">
        <v>489</v>
      </c>
      <c r="B87" t="s">
        <v>490</v>
      </c>
      <c r="C87" t="s">
        <v>491</v>
      </c>
      <c r="D87" t="s">
        <v>34</v>
      </c>
      <c r="E87" t="s">
        <v>53</v>
      </c>
      <c r="F87" t="s">
        <v>35</v>
      </c>
      <c r="G87" t="s">
        <v>45</v>
      </c>
      <c r="H87" t="s">
        <v>66</v>
      </c>
      <c r="I87" t="s">
        <v>47</v>
      </c>
      <c r="J87">
        <v>22537.58</v>
      </c>
      <c r="K87" s="1">
        <v>43882</v>
      </c>
      <c r="L87">
        <v>6</v>
      </c>
      <c r="M87" t="s">
        <v>152</v>
      </c>
      <c r="N87" t="s">
        <v>492</v>
      </c>
      <c r="O87" t="s">
        <v>493</v>
      </c>
      <c r="P87" t="s">
        <v>28</v>
      </c>
      <c r="Q87" t="s">
        <v>58</v>
      </c>
    </row>
    <row r="88" spans="1:17" x14ac:dyDescent="0.3">
      <c r="A88" t="s">
        <v>494</v>
      </c>
      <c r="B88" t="s">
        <v>495</v>
      </c>
      <c r="C88" t="s">
        <v>271</v>
      </c>
      <c r="D88" t="s">
        <v>193</v>
      </c>
      <c r="E88" t="s">
        <v>33</v>
      </c>
      <c r="F88" t="s">
        <v>132</v>
      </c>
      <c r="G88" t="s">
        <v>212</v>
      </c>
      <c r="H88" t="s">
        <v>23</v>
      </c>
      <c r="I88" t="s">
        <v>47</v>
      </c>
      <c r="J88">
        <v>47243.8</v>
      </c>
      <c r="K88" s="1">
        <v>45575</v>
      </c>
      <c r="L88">
        <v>1</v>
      </c>
      <c r="M88" t="s">
        <v>25</v>
      </c>
      <c r="N88" t="s">
        <v>496</v>
      </c>
      <c r="O88" t="s">
        <v>497</v>
      </c>
      <c r="P88" t="s">
        <v>28</v>
      </c>
      <c r="Q88" t="s">
        <v>58</v>
      </c>
    </row>
    <row r="89" spans="1:17" x14ac:dyDescent="0.3">
      <c r="A89" t="s">
        <v>498</v>
      </c>
      <c r="B89" t="s">
        <v>499</v>
      </c>
      <c r="C89" t="s">
        <v>447</v>
      </c>
      <c r="D89" t="s">
        <v>187</v>
      </c>
      <c r="E89" t="s">
        <v>62</v>
      </c>
      <c r="F89" t="s">
        <v>132</v>
      </c>
      <c r="G89" t="s">
        <v>212</v>
      </c>
      <c r="H89" t="s">
        <v>46</v>
      </c>
      <c r="I89" t="s">
        <v>24</v>
      </c>
      <c r="J89">
        <v>34649.06</v>
      </c>
      <c r="K89" s="1">
        <v>44236</v>
      </c>
      <c r="L89">
        <v>5</v>
      </c>
      <c r="M89" t="s">
        <v>25</v>
      </c>
      <c r="N89" t="s">
        <v>500</v>
      </c>
      <c r="O89" t="s">
        <v>501</v>
      </c>
      <c r="P89" t="s">
        <v>28</v>
      </c>
      <c r="Q89" t="s">
        <v>29</v>
      </c>
    </row>
    <row r="90" spans="1:17" x14ac:dyDescent="0.3">
      <c r="A90" t="s">
        <v>502</v>
      </c>
      <c r="B90" t="s">
        <v>503</v>
      </c>
      <c r="C90" t="s">
        <v>144</v>
      </c>
      <c r="D90" t="s">
        <v>211</v>
      </c>
      <c r="E90" t="s">
        <v>63</v>
      </c>
      <c r="F90" t="s">
        <v>22</v>
      </c>
      <c r="G90" t="s">
        <v>181</v>
      </c>
      <c r="H90" t="s">
        <v>46</v>
      </c>
      <c r="I90" t="s">
        <v>24</v>
      </c>
      <c r="J90">
        <v>27272.400000000001</v>
      </c>
      <c r="K90" s="1">
        <v>44328</v>
      </c>
      <c r="L90">
        <v>4</v>
      </c>
      <c r="M90" t="s">
        <v>25</v>
      </c>
      <c r="N90" t="s">
        <v>504</v>
      </c>
      <c r="O90" t="s">
        <v>505</v>
      </c>
      <c r="P90" t="s">
        <v>28</v>
      </c>
      <c r="Q90" t="s">
        <v>29</v>
      </c>
    </row>
    <row r="91" spans="1:17" x14ac:dyDescent="0.3">
      <c r="A91" t="s">
        <v>506</v>
      </c>
      <c r="B91" t="s">
        <v>507</v>
      </c>
      <c r="C91" t="s">
        <v>252</v>
      </c>
      <c r="D91" t="s">
        <v>327</v>
      </c>
      <c r="E91" t="s">
        <v>508</v>
      </c>
      <c r="F91" t="s">
        <v>132</v>
      </c>
      <c r="G91" t="s">
        <v>212</v>
      </c>
      <c r="H91" t="s">
        <v>46</v>
      </c>
      <c r="I91" t="s">
        <v>47</v>
      </c>
      <c r="J91">
        <v>46377.48</v>
      </c>
      <c r="K91" s="1">
        <v>44775</v>
      </c>
      <c r="L91">
        <v>3</v>
      </c>
      <c r="M91" t="s">
        <v>25</v>
      </c>
      <c r="N91" t="s">
        <v>509</v>
      </c>
      <c r="O91" t="s">
        <v>510</v>
      </c>
      <c r="P91" t="s">
        <v>28</v>
      </c>
      <c r="Q91" t="s">
        <v>58</v>
      </c>
    </row>
    <row r="92" spans="1:17" x14ac:dyDescent="0.3">
      <c r="A92" t="s">
        <v>511</v>
      </c>
      <c r="B92" t="s">
        <v>512</v>
      </c>
      <c r="C92" t="s">
        <v>144</v>
      </c>
      <c r="D92" t="s">
        <v>34</v>
      </c>
      <c r="E92" t="s">
        <v>187</v>
      </c>
      <c r="F92" t="s">
        <v>118</v>
      </c>
      <c r="G92" t="s">
        <v>169</v>
      </c>
      <c r="H92" t="s">
        <v>23</v>
      </c>
      <c r="I92" t="s">
        <v>97</v>
      </c>
      <c r="J92">
        <v>40446.43</v>
      </c>
      <c r="K92" s="1">
        <v>44988</v>
      </c>
      <c r="L92">
        <v>3</v>
      </c>
      <c r="M92" t="s">
        <v>25</v>
      </c>
      <c r="N92" t="s">
        <v>513</v>
      </c>
      <c r="O92" t="s">
        <v>514</v>
      </c>
      <c r="P92" t="s">
        <v>28</v>
      </c>
      <c r="Q92" t="s">
        <v>58</v>
      </c>
    </row>
    <row r="93" spans="1:17" x14ac:dyDescent="0.3">
      <c r="A93" t="s">
        <v>515</v>
      </c>
      <c r="B93" t="s">
        <v>516</v>
      </c>
      <c r="C93" t="s">
        <v>198</v>
      </c>
      <c r="D93" t="s">
        <v>199</v>
      </c>
      <c r="E93" t="s">
        <v>161</v>
      </c>
      <c r="F93" t="s">
        <v>73</v>
      </c>
      <c r="G93" t="s">
        <v>424</v>
      </c>
      <c r="H93" t="s">
        <v>66</v>
      </c>
      <c r="I93" t="s">
        <v>37</v>
      </c>
      <c r="J93">
        <v>27186</v>
      </c>
      <c r="K93" s="1">
        <v>43856</v>
      </c>
      <c r="L93">
        <v>6</v>
      </c>
      <c r="M93" t="s">
        <v>25</v>
      </c>
      <c r="N93" t="s">
        <v>517</v>
      </c>
      <c r="O93" t="s">
        <v>518</v>
      </c>
      <c r="P93" t="s">
        <v>28</v>
      </c>
      <c r="Q93" t="s">
        <v>58</v>
      </c>
    </row>
    <row r="94" spans="1:17" x14ac:dyDescent="0.3">
      <c r="A94" t="s">
        <v>519</v>
      </c>
      <c r="B94" t="s">
        <v>520</v>
      </c>
      <c r="C94" t="s">
        <v>521</v>
      </c>
      <c r="D94" t="s">
        <v>124</v>
      </c>
      <c r="E94" t="s">
        <v>117</v>
      </c>
      <c r="F94" t="s">
        <v>22</v>
      </c>
      <c r="G94" t="s">
        <v>260</v>
      </c>
      <c r="H94" t="s">
        <v>46</v>
      </c>
      <c r="I94" t="s">
        <v>24</v>
      </c>
      <c r="J94">
        <v>19869.990000000002</v>
      </c>
      <c r="K94" s="1">
        <v>44615</v>
      </c>
      <c r="L94">
        <v>4</v>
      </c>
      <c r="M94" t="s">
        <v>25</v>
      </c>
      <c r="N94" t="s">
        <v>522</v>
      </c>
      <c r="O94" t="s">
        <v>523</v>
      </c>
      <c r="P94" t="s">
        <v>28</v>
      </c>
      <c r="Q94" t="s">
        <v>58</v>
      </c>
    </row>
    <row r="95" spans="1:17" x14ac:dyDescent="0.3">
      <c r="A95" t="s">
        <v>524</v>
      </c>
      <c r="B95" t="s">
        <v>525</v>
      </c>
      <c r="C95" t="s">
        <v>271</v>
      </c>
      <c r="D95" t="s">
        <v>327</v>
      </c>
      <c r="E95" t="s">
        <v>223</v>
      </c>
      <c r="F95" t="s">
        <v>73</v>
      </c>
      <c r="G95" t="s">
        <v>87</v>
      </c>
      <c r="H95" t="s">
        <v>23</v>
      </c>
      <c r="I95" t="s">
        <v>97</v>
      </c>
      <c r="J95">
        <v>38469.25</v>
      </c>
      <c r="K95" s="1">
        <v>45478</v>
      </c>
      <c r="L95">
        <v>1</v>
      </c>
      <c r="M95" t="s">
        <v>25</v>
      </c>
      <c r="N95" t="s">
        <v>526</v>
      </c>
      <c r="O95" t="s">
        <v>527</v>
      </c>
      <c r="P95" t="s">
        <v>28</v>
      </c>
      <c r="Q95" t="s">
        <v>29</v>
      </c>
    </row>
    <row r="96" spans="1:17" x14ac:dyDescent="0.3">
      <c r="A96" t="s">
        <v>528</v>
      </c>
      <c r="B96" t="s">
        <v>529</v>
      </c>
      <c r="C96" t="s">
        <v>186</v>
      </c>
      <c r="D96" t="s">
        <v>312</v>
      </c>
      <c r="E96" t="s">
        <v>193</v>
      </c>
      <c r="F96" t="s">
        <v>95</v>
      </c>
      <c r="G96" t="s">
        <v>162</v>
      </c>
      <c r="H96" t="s">
        <v>55</v>
      </c>
      <c r="I96" t="s">
        <v>24</v>
      </c>
      <c r="J96">
        <v>19439.82</v>
      </c>
      <c r="K96" s="1">
        <v>44167</v>
      </c>
      <c r="L96">
        <v>5</v>
      </c>
      <c r="M96" t="s">
        <v>25</v>
      </c>
      <c r="N96" t="s">
        <v>530</v>
      </c>
      <c r="O96" t="s">
        <v>531</v>
      </c>
      <c r="P96" t="s">
        <v>28</v>
      </c>
      <c r="Q96" t="s">
        <v>29</v>
      </c>
    </row>
    <row r="97" spans="1:17" x14ac:dyDescent="0.3">
      <c r="A97" t="s">
        <v>532</v>
      </c>
      <c r="B97" t="s">
        <v>533</v>
      </c>
      <c r="C97" t="s">
        <v>322</v>
      </c>
      <c r="D97" t="s">
        <v>230</v>
      </c>
      <c r="E97" t="s">
        <v>193</v>
      </c>
      <c r="F97" t="s">
        <v>118</v>
      </c>
      <c r="G97" t="s">
        <v>119</v>
      </c>
      <c r="H97" t="s">
        <v>46</v>
      </c>
      <c r="I97" t="s">
        <v>37</v>
      </c>
      <c r="J97">
        <v>48182.71</v>
      </c>
      <c r="K97" s="1">
        <v>44874</v>
      </c>
      <c r="L97">
        <v>3</v>
      </c>
      <c r="M97" t="s">
        <v>25</v>
      </c>
      <c r="N97" t="s">
        <v>534</v>
      </c>
      <c r="O97" t="s">
        <v>535</v>
      </c>
      <c r="P97" t="s">
        <v>28</v>
      </c>
      <c r="Q97" t="s">
        <v>29</v>
      </c>
    </row>
    <row r="98" spans="1:17" x14ac:dyDescent="0.3">
      <c r="A98" t="s">
        <v>536</v>
      </c>
      <c r="B98" t="s">
        <v>537</v>
      </c>
      <c r="C98" t="s">
        <v>144</v>
      </c>
      <c r="D98" t="s">
        <v>86</v>
      </c>
      <c r="E98" t="s">
        <v>151</v>
      </c>
      <c r="F98" t="s">
        <v>95</v>
      </c>
      <c r="G98" t="s">
        <v>96</v>
      </c>
      <c r="H98" t="s">
        <v>23</v>
      </c>
      <c r="I98" t="s">
        <v>24</v>
      </c>
      <c r="J98">
        <v>39185.1</v>
      </c>
      <c r="K98" s="1">
        <v>44194</v>
      </c>
      <c r="L98">
        <v>5</v>
      </c>
      <c r="M98" t="s">
        <v>25</v>
      </c>
      <c r="N98" t="s">
        <v>538</v>
      </c>
      <c r="O98" t="s">
        <v>539</v>
      </c>
      <c r="P98" t="s">
        <v>28</v>
      </c>
      <c r="Q98" t="s">
        <v>58</v>
      </c>
    </row>
    <row r="99" spans="1:17" x14ac:dyDescent="0.3">
      <c r="A99" t="s">
        <v>540</v>
      </c>
      <c r="B99" t="s">
        <v>541</v>
      </c>
      <c r="C99" t="s">
        <v>491</v>
      </c>
      <c r="D99" t="s">
        <v>139</v>
      </c>
      <c r="E99" t="s">
        <v>86</v>
      </c>
      <c r="F99" t="s">
        <v>22</v>
      </c>
      <c r="G99" t="s">
        <v>260</v>
      </c>
      <c r="H99" t="s">
        <v>46</v>
      </c>
      <c r="I99" t="s">
        <v>37</v>
      </c>
      <c r="J99">
        <v>37442.65</v>
      </c>
      <c r="K99" s="1">
        <v>44986</v>
      </c>
      <c r="L99">
        <v>3</v>
      </c>
      <c r="M99" t="s">
        <v>25</v>
      </c>
      <c r="N99" t="s">
        <v>542</v>
      </c>
      <c r="O99" t="s">
        <v>543</v>
      </c>
      <c r="P99" t="s">
        <v>28</v>
      </c>
      <c r="Q99" t="s">
        <v>29</v>
      </c>
    </row>
    <row r="100" spans="1:17" x14ac:dyDescent="0.3">
      <c r="A100" t="s">
        <v>544</v>
      </c>
      <c r="B100" t="s">
        <v>545</v>
      </c>
      <c r="C100" t="s">
        <v>447</v>
      </c>
      <c r="D100" t="s">
        <v>341</v>
      </c>
      <c r="E100" t="s">
        <v>63</v>
      </c>
      <c r="F100" t="s">
        <v>22</v>
      </c>
      <c r="G100" t="s">
        <v>260</v>
      </c>
      <c r="H100" t="s">
        <v>66</v>
      </c>
      <c r="I100" t="s">
        <v>97</v>
      </c>
      <c r="J100">
        <v>35752.730000000003</v>
      </c>
      <c r="K100" s="1">
        <v>44481</v>
      </c>
      <c r="L100">
        <v>4</v>
      </c>
      <c r="M100" t="s">
        <v>25</v>
      </c>
      <c r="N100" t="s">
        <v>546</v>
      </c>
      <c r="O100" t="s">
        <v>547</v>
      </c>
      <c r="P100" t="s">
        <v>28</v>
      </c>
      <c r="Q100" t="s">
        <v>58</v>
      </c>
    </row>
    <row r="101" spans="1:17" x14ac:dyDescent="0.3">
      <c r="A101" t="s">
        <v>548</v>
      </c>
      <c r="B101" t="s">
        <v>549</v>
      </c>
      <c r="C101" t="s">
        <v>491</v>
      </c>
      <c r="D101" t="s">
        <v>43</v>
      </c>
      <c r="E101" t="s">
        <v>110</v>
      </c>
      <c r="F101" t="s">
        <v>118</v>
      </c>
      <c r="G101" t="s">
        <v>119</v>
      </c>
      <c r="H101" t="s">
        <v>46</v>
      </c>
      <c r="I101" t="s">
        <v>37</v>
      </c>
      <c r="J101">
        <v>25917.51</v>
      </c>
      <c r="K101" s="1">
        <v>43933</v>
      </c>
      <c r="L101">
        <v>6</v>
      </c>
      <c r="M101" t="s">
        <v>25</v>
      </c>
      <c r="N101" t="s">
        <v>550</v>
      </c>
      <c r="O101" t="s">
        <v>551</v>
      </c>
      <c r="P101" t="s">
        <v>28</v>
      </c>
      <c r="Q101" t="s">
        <v>58</v>
      </c>
    </row>
    <row r="102" spans="1:17" x14ac:dyDescent="0.3">
      <c r="A102" t="s">
        <v>552</v>
      </c>
      <c r="B102" t="s">
        <v>553</v>
      </c>
      <c r="C102" t="s">
        <v>554</v>
      </c>
      <c r="D102" t="s">
        <v>161</v>
      </c>
      <c r="E102" t="s">
        <v>187</v>
      </c>
      <c r="F102" t="s">
        <v>64</v>
      </c>
      <c r="G102" t="s">
        <v>555</v>
      </c>
      <c r="H102" t="s">
        <v>66</v>
      </c>
      <c r="I102" t="s">
        <v>24</v>
      </c>
      <c r="J102">
        <v>43204.1</v>
      </c>
      <c r="K102" s="1">
        <v>45347</v>
      </c>
      <c r="L102">
        <v>2</v>
      </c>
      <c r="M102" t="s">
        <v>152</v>
      </c>
      <c r="N102" t="s">
        <v>556</v>
      </c>
      <c r="O102" t="s">
        <v>557</v>
      </c>
      <c r="P102" t="s">
        <v>28</v>
      </c>
      <c r="Q102" t="s">
        <v>29</v>
      </c>
    </row>
    <row r="103" spans="1:17" x14ac:dyDescent="0.3">
      <c r="A103" t="s">
        <v>558</v>
      </c>
      <c r="B103" t="s">
        <v>559</v>
      </c>
      <c r="C103" t="s">
        <v>85</v>
      </c>
      <c r="D103" t="s">
        <v>20</v>
      </c>
      <c r="E103" t="s">
        <v>180</v>
      </c>
      <c r="F103" t="s">
        <v>73</v>
      </c>
      <c r="G103" t="s">
        <v>74</v>
      </c>
      <c r="H103" t="s">
        <v>66</v>
      </c>
      <c r="I103" t="s">
        <v>47</v>
      </c>
      <c r="J103">
        <v>52555.14</v>
      </c>
      <c r="K103" s="1">
        <v>45554</v>
      </c>
      <c r="L103">
        <v>1</v>
      </c>
      <c r="M103" t="s">
        <v>25</v>
      </c>
      <c r="N103" t="s">
        <v>560</v>
      </c>
      <c r="O103" t="s">
        <v>561</v>
      </c>
      <c r="P103" t="s">
        <v>28</v>
      </c>
      <c r="Q103" t="s">
        <v>58</v>
      </c>
    </row>
    <row r="104" spans="1:17" x14ac:dyDescent="0.3">
      <c r="A104" t="s">
        <v>562</v>
      </c>
      <c r="B104" t="s">
        <v>563</v>
      </c>
      <c r="C104" t="s">
        <v>429</v>
      </c>
      <c r="D104" t="s">
        <v>259</v>
      </c>
      <c r="E104" t="s">
        <v>139</v>
      </c>
      <c r="F104" t="s">
        <v>118</v>
      </c>
      <c r="G104" t="s">
        <v>169</v>
      </c>
      <c r="H104" t="s">
        <v>23</v>
      </c>
      <c r="I104" t="s">
        <v>24</v>
      </c>
      <c r="J104">
        <v>30235.31</v>
      </c>
      <c r="K104" s="1">
        <v>44131</v>
      </c>
      <c r="L104">
        <v>5</v>
      </c>
      <c r="M104" t="s">
        <v>25</v>
      </c>
      <c r="N104" t="s">
        <v>564</v>
      </c>
      <c r="O104" t="s">
        <v>565</v>
      </c>
      <c r="P104" t="s">
        <v>28</v>
      </c>
      <c r="Q104" t="s">
        <v>29</v>
      </c>
    </row>
    <row r="105" spans="1:17" x14ac:dyDescent="0.3">
      <c r="A105" t="s">
        <v>566</v>
      </c>
      <c r="B105" t="s">
        <v>567</v>
      </c>
      <c r="C105" t="s">
        <v>108</v>
      </c>
      <c r="D105" t="s">
        <v>161</v>
      </c>
      <c r="E105" t="s">
        <v>131</v>
      </c>
      <c r="F105" t="s">
        <v>224</v>
      </c>
      <c r="G105" t="s">
        <v>225</v>
      </c>
      <c r="H105" t="s">
        <v>46</v>
      </c>
      <c r="I105" t="s">
        <v>47</v>
      </c>
      <c r="J105">
        <v>18252.71</v>
      </c>
      <c r="K105" s="1">
        <v>44843</v>
      </c>
      <c r="L105">
        <v>3</v>
      </c>
      <c r="M105" t="s">
        <v>25</v>
      </c>
      <c r="N105" t="s">
        <v>163</v>
      </c>
      <c r="O105" t="s">
        <v>568</v>
      </c>
      <c r="P105" t="s">
        <v>28</v>
      </c>
      <c r="Q105" t="s">
        <v>58</v>
      </c>
    </row>
    <row r="106" spans="1:17" x14ac:dyDescent="0.3">
      <c r="A106" t="s">
        <v>569</v>
      </c>
      <c r="B106" t="s">
        <v>570</v>
      </c>
      <c r="C106" t="s">
        <v>144</v>
      </c>
      <c r="D106" t="s">
        <v>223</v>
      </c>
      <c r="E106" t="s">
        <v>150</v>
      </c>
      <c r="F106" t="s">
        <v>35</v>
      </c>
      <c r="G106" t="s">
        <v>45</v>
      </c>
      <c r="H106" t="s">
        <v>55</v>
      </c>
      <c r="I106" t="s">
        <v>97</v>
      </c>
      <c r="J106">
        <v>31599.119999999999</v>
      </c>
      <c r="K106" s="1">
        <v>45176</v>
      </c>
      <c r="L106">
        <v>2</v>
      </c>
      <c r="M106" t="s">
        <v>25</v>
      </c>
      <c r="N106" t="s">
        <v>571</v>
      </c>
      <c r="O106" t="s">
        <v>572</v>
      </c>
      <c r="P106" t="s">
        <v>28</v>
      </c>
      <c r="Q106" t="s">
        <v>58</v>
      </c>
    </row>
    <row r="107" spans="1:17" x14ac:dyDescent="0.3">
      <c r="A107" t="s">
        <v>573</v>
      </c>
      <c r="B107" t="s">
        <v>574</v>
      </c>
      <c r="C107" t="s">
        <v>346</v>
      </c>
      <c r="D107" t="s">
        <v>72</v>
      </c>
      <c r="E107" t="s">
        <v>312</v>
      </c>
      <c r="F107" t="s">
        <v>132</v>
      </c>
      <c r="G107" t="s">
        <v>133</v>
      </c>
      <c r="H107" t="s">
        <v>66</v>
      </c>
      <c r="I107" t="s">
        <v>97</v>
      </c>
      <c r="J107">
        <v>20889.8</v>
      </c>
      <c r="K107" s="1">
        <v>44473</v>
      </c>
      <c r="L107">
        <v>4</v>
      </c>
      <c r="M107" t="s">
        <v>25</v>
      </c>
      <c r="N107" t="s">
        <v>348</v>
      </c>
      <c r="O107" t="s">
        <v>575</v>
      </c>
      <c r="P107" t="s">
        <v>28</v>
      </c>
      <c r="Q107" t="s">
        <v>29</v>
      </c>
    </row>
    <row r="108" spans="1:17" x14ac:dyDescent="0.3">
      <c r="A108" t="s">
        <v>576</v>
      </c>
      <c r="B108" t="s">
        <v>577</v>
      </c>
      <c r="C108" t="s">
        <v>130</v>
      </c>
      <c r="D108" t="s">
        <v>193</v>
      </c>
      <c r="E108" t="s">
        <v>34</v>
      </c>
      <c r="F108" t="s">
        <v>73</v>
      </c>
      <c r="G108" t="s">
        <v>424</v>
      </c>
      <c r="H108" t="s">
        <v>23</v>
      </c>
      <c r="I108" t="s">
        <v>37</v>
      </c>
      <c r="J108">
        <v>34901.54</v>
      </c>
      <c r="K108" s="1">
        <v>45510</v>
      </c>
      <c r="L108">
        <v>1</v>
      </c>
      <c r="M108" t="s">
        <v>25</v>
      </c>
      <c r="N108" t="s">
        <v>578</v>
      </c>
      <c r="O108" t="s">
        <v>579</v>
      </c>
      <c r="P108" t="s">
        <v>28</v>
      </c>
      <c r="Q108" t="s">
        <v>58</v>
      </c>
    </row>
    <row r="109" spans="1:17" x14ac:dyDescent="0.3">
      <c r="A109" t="s">
        <v>580</v>
      </c>
      <c r="B109" t="s">
        <v>581</v>
      </c>
      <c r="C109" t="s">
        <v>52</v>
      </c>
      <c r="D109" t="s">
        <v>242</v>
      </c>
      <c r="E109" t="s">
        <v>103</v>
      </c>
      <c r="F109" t="s">
        <v>73</v>
      </c>
      <c r="G109" t="s">
        <v>74</v>
      </c>
      <c r="H109" t="s">
        <v>66</v>
      </c>
      <c r="I109" t="s">
        <v>24</v>
      </c>
      <c r="J109">
        <v>28622.36</v>
      </c>
      <c r="K109" s="1">
        <v>45260</v>
      </c>
      <c r="L109">
        <v>2</v>
      </c>
      <c r="M109" t="s">
        <v>25</v>
      </c>
      <c r="N109" t="s">
        <v>582</v>
      </c>
      <c r="O109" t="s">
        <v>583</v>
      </c>
      <c r="P109" t="s">
        <v>28</v>
      </c>
      <c r="Q109" t="s">
        <v>29</v>
      </c>
    </row>
    <row r="110" spans="1:17" x14ac:dyDescent="0.3">
      <c r="A110" t="s">
        <v>584</v>
      </c>
      <c r="B110" t="s">
        <v>585</v>
      </c>
      <c r="C110" t="s">
        <v>402</v>
      </c>
      <c r="D110" t="s">
        <v>131</v>
      </c>
      <c r="E110" t="s">
        <v>145</v>
      </c>
      <c r="F110" t="s">
        <v>95</v>
      </c>
      <c r="G110" t="s">
        <v>162</v>
      </c>
      <c r="H110" t="s">
        <v>23</v>
      </c>
      <c r="I110" t="s">
        <v>47</v>
      </c>
      <c r="J110">
        <v>48888.4</v>
      </c>
      <c r="K110" s="1">
        <v>44080</v>
      </c>
      <c r="L110">
        <v>5</v>
      </c>
      <c r="M110" t="s">
        <v>152</v>
      </c>
      <c r="N110" t="s">
        <v>586</v>
      </c>
      <c r="O110" t="s">
        <v>587</v>
      </c>
      <c r="P110" t="s">
        <v>28</v>
      </c>
      <c r="Q110" t="s">
        <v>58</v>
      </c>
    </row>
    <row r="111" spans="1:17" x14ac:dyDescent="0.3">
      <c r="A111" t="s">
        <v>588</v>
      </c>
      <c r="B111" t="s">
        <v>589</v>
      </c>
      <c r="C111" t="s">
        <v>258</v>
      </c>
      <c r="D111" t="s">
        <v>72</v>
      </c>
      <c r="E111" t="s">
        <v>361</v>
      </c>
      <c r="F111" t="s">
        <v>73</v>
      </c>
      <c r="G111" t="s">
        <v>87</v>
      </c>
      <c r="H111" t="s">
        <v>66</v>
      </c>
      <c r="I111" t="s">
        <v>24</v>
      </c>
      <c r="J111">
        <v>26904.65</v>
      </c>
      <c r="K111" s="1">
        <v>45491</v>
      </c>
      <c r="L111">
        <v>1</v>
      </c>
      <c r="M111" t="s">
        <v>25</v>
      </c>
      <c r="N111" t="s">
        <v>590</v>
      </c>
      <c r="O111" t="s">
        <v>591</v>
      </c>
      <c r="P111" t="s">
        <v>28</v>
      </c>
      <c r="Q111" t="s">
        <v>58</v>
      </c>
    </row>
    <row r="112" spans="1:17" x14ac:dyDescent="0.3">
      <c r="A112" t="s">
        <v>592</v>
      </c>
      <c r="B112" t="s">
        <v>593</v>
      </c>
      <c r="C112" t="s">
        <v>235</v>
      </c>
      <c r="D112" t="s">
        <v>193</v>
      </c>
      <c r="E112" t="s">
        <v>341</v>
      </c>
      <c r="F112" t="s">
        <v>22</v>
      </c>
      <c r="G112" t="s">
        <v>260</v>
      </c>
      <c r="H112" t="s">
        <v>46</v>
      </c>
      <c r="I112" t="s">
        <v>97</v>
      </c>
      <c r="J112">
        <v>26765.45</v>
      </c>
      <c r="K112" s="1">
        <v>43834</v>
      </c>
      <c r="L112">
        <v>6</v>
      </c>
      <c r="M112" t="s">
        <v>25</v>
      </c>
      <c r="N112" t="s">
        <v>594</v>
      </c>
      <c r="O112" t="s">
        <v>595</v>
      </c>
      <c r="P112" t="s">
        <v>28</v>
      </c>
      <c r="Q112" t="s">
        <v>29</v>
      </c>
    </row>
    <row r="113" spans="1:17" x14ac:dyDescent="0.3">
      <c r="A113" t="s">
        <v>596</v>
      </c>
      <c r="B113" t="s">
        <v>597</v>
      </c>
      <c r="C113" t="s">
        <v>554</v>
      </c>
      <c r="D113" t="s">
        <v>110</v>
      </c>
      <c r="E113" t="s">
        <v>200</v>
      </c>
      <c r="F113" t="s">
        <v>95</v>
      </c>
      <c r="G113" t="s">
        <v>162</v>
      </c>
      <c r="H113" t="s">
        <v>46</v>
      </c>
      <c r="I113" t="s">
        <v>37</v>
      </c>
      <c r="J113">
        <v>33105.589999999997</v>
      </c>
      <c r="K113" s="1">
        <v>45014</v>
      </c>
      <c r="L113">
        <v>3</v>
      </c>
      <c r="M113" t="s">
        <v>25</v>
      </c>
      <c r="N113" t="s">
        <v>598</v>
      </c>
      <c r="O113" t="s">
        <v>599</v>
      </c>
      <c r="P113" t="s">
        <v>28</v>
      </c>
      <c r="Q113" t="s">
        <v>58</v>
      </c>
    </row>
    <row r="114" spans="1:17" x14ac:dyDescent="0.3">
      <c r="A114" t="s">
        <v>600</v>
      </c>
      <c r="B114" t="s">
        <v>601</v>
      </c>
      <c r="C114" t="s">
        <v>235</v>
      </c>
      <c r="D114" t="s">
        <v>217</v>
      </c>
      <c r="E114" t="s">
        <v>117</v>
      </c>
      <c r="F114" t="s">
        <v>35</v>
      </c>
      <c r="G114" t="s">
        <v>36</v>
      </c>
      <c r="H114" t="s">
        <v>46</v>
      </c>
      <c r="I114" t="s">
        <v>24</v>
      </c>
      <c r="J114">
        <v>52122.37</v>
      </c>
      <c r="K114" s="1">
        <v>43894</v>
      </c>
      <c r="L114">
        <v>6</v>
      </c>
      <c r="M114" t="s">
        <v>25</v>
      </c>
      <c r="N114" t="s">
        <v>407</v>
      </c>
      <c r="O114" t="s">
        <v>602</v>
      </c>
      <c r="P114" t="s">
        <v>28</v>
      </c>
      <c r="Q114" t="s">
        <v>58</v>
      </c>
    </row>
    <row r="115" spans="1:17" x14ac:dyDescent="0.3">
      <c r="A115" t="s">
        <v>603</v>
      </c>
      <c r="B115" t="s">
        <v>604</v>
      </c>
      <c r="C115" t="s">
        <v>210</v>
      </c>
      <c r="D115" t="s">
        <v>266</v>
      </c>
      <c r="E115" t="s">
        <v>286</v>
      </c>
      <c r="F115" t="s">
        <v>22</v>
      </c>
      <c r="G115" t="s">
        <v>22</v>
      </c>
      <c r="H115" t="s">
        <v>55</v>
      </c>
      <c r="I115" t="s">
        <v>37</v>
      </c>
      <c r="J115">
        <v>51834.33</v>
      </c>
      <c r="K115" s="1">
        <v>44204</v>
      </c>
      <c r="L115">
        <v>5</v>
      </c>
      <c r="M115" t="s">
        <v>25</v>
      </c>
      <c r="N115" t="s">
        <v>605</v>
      </c>
      <c r="O115" t="s">
        <v>606</v>
      </c>
      <c r="P115" t="s">
        <v>28</v>
      </c>
      <c r="Q115" t="s">
        <v>29</v>
      </c>
    </row>
    <row r="116" spans="1:17" x14ac:dyDescent="0.3">
      <c r="A116" t="s">
        <v>607</v>
      </c>
      <c r="B116" t="s">
        <v>608</v>
      </c>
      <c r="C116" t="s">
        <v>71</v>
      </c>
      <c r="D116" t="s">
        <v>124</v>
      </c>
      <c r="E116" t="s">
        <v>161</v>
      </c>
      <c r="F116" t="s">
        <v>118</v>
      </c>
      <c r="G116" t="s">
        <v>169</v>
      </c>
      <c r="H116" t="s">
        <v>23</v>
      </c>
      <c r="I116" t="s">
        <v>97</v>
      </c>
      <c r="J116">
        <v>29578.11</v>
      </c>
      <c r="K116" s="1">
        <v>45535</v>
      </c>
      <c r="L116">
        <v>1</v>
      </c>
      <c r="M116" t="s">
        <v>25</v>
      </c>
      <c r="N116" t="s">
        <v>609</v>
      </c>
      <c r="O116" t="s">
        <v>610</v>
      </c>
      <c r="P116" t="s">
        <v>28</v>
      </c>
      <c r="Q116" t="s">
        <v>29</v>
      </c>
    </row>
    <row r="117" spans="1:17" x14ac:dyDescent="0.3">
      <c r="A117" t="s">
        <v>611</v>
      </c>
      <c r="B117" t="s">
        <v>612</v>
      </c>
      <c r="C117" t="s">
        <v>252</v>
      </c>
      <c r="D117" t="s">
        <v>117</v>
      </c>
      <c r="E117" t="s">
        <v>259</v>
      </c>
      <c r="F117" t="s">
        <v>64</v>
      </c>
      <c r="G117" t="s">
        <v>430</v>
      </c>
      <c r="H117" t="s">
        <v>66</v>
      </c>
      <c r="I117" t="s">
        <v>37</v>
      </c>
      <c r="J117">
        <v>35050.67</v>
      </c>
      <c r="K117" s="1">
        <v>44128</v>
      </c>
      <c r="L117">
        <v>5</v>
      </c>
      <c r="M117" t="s">
        <v>25</v>
      </c>
      <c r="N117" t="s">
        <v>613</v>
      </c>
      <c r="O117" t="s">
        <v>614</v>
      </c>
      <c r="P117" t="s">
        <v>28</v>
      </c>
      <c r="Q117" t="s">
        <v>29</v>
      </c>
    </row>
    <row r="118" spans="1:17" x14ac:dyDescent="0.3">
      <c r="A118" t="s">
        <v>615</v>
      </c>
      <c r="B118" t="s">
        <v>616</v>
      </c>
      <c r="C118" t="s">
        <v>32</v>
      </c>
      <c r="D118" t="s">
        <v>139</v>
      </c>
      <c r="E118" t="s">
        <v>151</v>
      </c>
      <c r="F118" t="s">
        <v>22</v>
      </c>
      <c r="G118" t="s">
        <v>22</v>
      </c>
      <c r="H118" t="s">
        <v>23</v>
      </c>
      <c r="I118" t="s">
        <v>24</v>
      </c>
      <c r="J118">
        <v>26092.63</v>
      </c>
      <c r="K118" s="1">
        <v>44695</v>
      </c>
      <c r="L118">
        <v>3</v>
      </c>
      <c r="M118" t="s">
        <v>25</v>
      </c>
      <c r="N118" t="s">
        <v>617</v>
      </c>
      <c r="O118" t="s">
        <v>618</v>
      </c>
      <c r="P118" t="s">
        <v>28</v>
      </c>
      <c r="Q118" t="s">
        <v>58</v>
      </c>
    </row>
    <row r="119" spans="1:17" x14ac:dyDescent="0.3">
      <c r="A119" t="s">
        <v>619</v>
      </c>
      <c r="B119" t="s">
        <v>620</v>
      </c>
      <c r="C119" t="s">
        <v>85</v>
      </c>
      <c r="D119" t="s">
        <v>341</v>
      </c>
      <c r="E119" t="s">
        <v>508</v>
      </c>
      <c r="F119" t="s">
        <v>95</v>
      </c>
      <c r="G119" t="s">
        <v>96</v>
      </c>
      <c r="H119" t="s">
        <v>55</v>
      </c>
      <c r="I119" t="s">
        <v>24</v>
      </c>
      <c r="J119">
        <v>37402.26</v>
      </c>
      <c r="K119" s="1">
        <v>45135</v>
      </c>
      <c r="L119">
        <v>2</v>
      </c>
      <c r="M119" t="s">
        <v>25</v>
      </c>
      <c r="N119" t="s">
        <v>621</v>
      </c>
      <c r="O119" t="s">
        <v>622</v>
      </c>
      <c r="P119" t="s">
        <v>28</v>
      </c>
      <c r="Q119" t="s">
        <v>58</v>
      </c>
    </row>
    <row r="120" spans="1:17" x14ac:dyDescent="0.3">
      <c r="A120" t="s">
        <v>623</v>
      </c>
      <c r="B120" t="s">
        <v>624</v>
      </c>
      <c r="C120" t="s">
        <v>456</v>
      </c>
      <c r="D120" t="s">
        <v>33</v>
      </c>
      <c r="E120" t="s">
        <v>266</v>
      </c>
      <c r="F120" t="s">
        <v>132</v>
      </c>
      <c r="G120" t="s">
        <v>133</v>
      </c>
      <c r="H120" t="s">
        <v>55</v>
      </c>
      <c r="I120" t="s">
        <v>24</v>
      </c>
      <c r="J120">
        <v>32995.300000000003</v>
      </c>
      <c r="K120" s="1">
        <v>44856</v>
      </c>
      <c r="L120">
        <v>3</v>
      </c>
      <c r="M120" t="s">
        <v>25</v>
      </c>
      <c r="N120" t="s">
        <v>625</v>
      </c>
      <c r="O120" t="s">
        <v>626</v>
      </c>
      <c r="P120" t="s">
        <v>28</v>
      </c>
      <c r="Q120" t="s">
        <v>29</v>
      </c>
    </row>
    <row r="121" spans="1:17" x14ac:dyDescent="0.3">
      <c r="A121" t="s">
        <v>627</v>
      </c>
      <c r="B121" t="s">
        <v>628</v>
      </c>
      <c r="C121" t="s">
        <v>629</v>
      </c>
      <c r="D121" t="s">
        <v>53</v>
      </c>
      <c r="E121" t="s">
        <v>242</v>
      </c>
      <c r="F121" t="s">
        <v>118</v>
      </c>
      <c r="G121" t="s">
        <v>169</v>
      </c>
      <c r="H121" t="s">
        <v>55</v>
      </c>
      <c r="I121" t="s">
        <v>24</v>
      </c>
      <c r="J121">
        <v>43323.86</v>
      </c>
      <c r="K121" s="1">
        <v>45054</v>
      </c>
      <c r="L121">
        <v>2</v>
      </c>
      <c r="M121" t="s">
        <v>25</v>
      </c>
      <c r="N121" t="s">
        <v>630</v>
      </c>
      <c r="O121" t="s">
        <v>631</v>
      </c>
      <c r="P121" t="s">
        <v>28</v>
      </c>
      <c r="Q121" t="s">
        <v>29</v>
      </c>
    </row>
    <row r="122" spans="1:17" x14ac:dyDescent="0.3">
      <c r="A122" t="s">
        <v>632</v>
      </c>
      <c r="B122" t="s">
        <v>633</v>
      </c>
      <c r="C122" t="s">
        <v>144</v>
      </c>
      <c r="D122" t="s">
        <v>62</v>
      </c>
      <c r="E122" t="s">
        <v>117</v>
      </c>
      <c r="F122" t="s">
        <v>95</v>
      </c>
      <c r="G122" t="s">
        <v>162</v>
      </c>
      <c r="H122" t="s">
        <v>46</v>
      </c>
      <c r="I122" t="s">
        <v>37</v>
      </c>
      <c r="J122">
        <v>45957.54</v>
      </c>
      <c r="K122" s="1">
        <v>45342</v>
      </c>
      <c r="L122">
        <v>2</v>
      </c>
      <c r="M122" t="s">
        <v>25</v>
      </c>
      <c r="N122" t="s">
        <v>634</v>
      </c>
      <c r="O122" t="s">
        <v>635</v>
      </c>
      <c r="P122" t="s">
        <v>28</v>
      </c>
      <c r="Q122" t="s">
        <v>29</v>
      </c>
    </row>
    <row r="123" spans="1:17" x14ac:dyDescent="0.3">
      <c r="A123" t="s">
        <v>636</v>
      </c>
      <c r="B123" t="s">
        <v>637</v>
      </c>
      <c r="C123" t="s">
        <v>447</v>
      </c>
      <c r="D123" t="s">
        <v>211</v>
      </c>
      <c r="E123" t="s">
        <v>508</v>
      </c>
      <c r="F123" t="s">
        <v>35</v>
      </c>
      <c r="G123" t="s">
        <v>125</v>
      </c>
      <c r="H123" t="s">
        <v>66</v>
      </c>
      <c r="I123" t="s">
        <v>47</v>
      </c>
      <c r="J123">
        <v>31165.01</v>
      </c>
      <c r="K123" s="1">
        <v>43701</v>
      </c>
      <c r="L123">
        <v>6</v>
      </c>
      <c r="M123" t="s">
        <v>25</v>
      </c>
      <c r="N123" t="s">
        <v>638</v>
      </c>
      <c r="O123" t="s">
        <v>639</v>
      </c>
      <c r="P123" t="s">
        <v>28</v>
      </c>
      <c r="Q123" t="s">
        <v>29</v>
      </c>
    </row>
    <row r="124" spans="1:17" x14ac:dyDescent="0.3">
      <c r="A124" t="s">
        <v>640</v>
      </c>
      <c r="B124" t="s">
        <v>641</v>
      </c>
      <c r="C124" t="s">
        <v>642</v>
      </c>
      <c r="D124" t="s">
        <v>217</v>
      </c>
      <c r="E124" t="s">
        <v>211</v>
      </c>
      <c r="F124" t="s">
        <v>64</v>
      </c>
      <c r="G124" t="s">
        <v>65</v>
      </c>
      <c r="H124" t="s">
        <v>55</v>
      </c>
      <c r="I124" t="s">
        <v>24</v>
      </c>
      <c r="J124">
        <v>52889.53</v>
      </c>
      <c r="K124" s="1">
        <v>44718</v>
      </c>
      <c r="L124">
        <v>3</v>
      </c>
      <c r="M124" t="s">
        <v>25</v>
      </c>
      <c r="N124" t="s">
        <v>643</v>
      </c>
      <c r="O124" t="s">
        <v>644</v>
      </c>
      <c r="P124" t="s">
        <v>28</v>
      </c>
      <c r="Q124" t="s">
        <v>29</v>
      </c>
    </row>
    <row r="125" spans="1:17" x14ac:dyDescent="0.3">
      <c r="A125" t="s">
        <v>645</v>
      </c>
      <c r="B125" t="s">
        <v>646</v>
      </c>
      <c r="C125" t="s">
        <v>92</v>
      </c>
      <c r="D125" t="s">
        <v>43</v>
      </c>
      <c r="E125" t="s">
        <v>312</v>
      </c>
      <c r="F125" t="s">
        <v>64</v>
      </c>
      <c r="G125" t="s">
        <v>430</v>
      </c>
      <c r="H125" t="s">
        <v>55</v>
      </c>
      <c r="I125" t="s">
        <v>97</v>
      </c>
      <c r="J125">
        <v>33310.97</v>
      </c>
      <c r="K125" s="1">
        <v>44033</v>
      </c>
      <c r="L125">
        <v>5</v>
      </c>
      <c r="M125" t="s">
        <v>25</v>
      </c>
      <c r="N125" t="s">
        <v>647</v>
      </c>
      <c r="O125" t="s">
        <v>648</v>
      </c>
      <c r="P125" t="s">
        <v>28</v>
      </c>
      <c r="Q125" t="s">
        <v>58</v>
      </c>
    </row>
    <row r="126" spans="1:17" x14ac:dyDescent="0.3">
      <c r="A126" t="s">
        <v>649</v>
      </c>
      <c r="B126" t="s">
        <v>650</v>
      </c>
      <c r="C126" t="s">
        <v>241</v>
      </c>
      <c r="D126" t="s">
        <v>93</v>
      </c>
      <c r="E126" t="s">
        <v>109</v>
      </c>
      <c r="F126" t="s">
        <v>35</v>
      </c>
      <c r="G126" t="s">
        <v>125</v>
      </c>
      <c r="H126" t="s">
        <v>46</v>
      </c>
      <c r="I126" t="s">
        <v>37</v>
      </c>
      <c r="J126">
        <v>46958.67</v>
      </c>
      <c r="K126" s="1">
        <v>44889</v>
      </c>
      <c r="L126">
        <v>3</v>
      </c>
      <c r="M126" t="s">
        <v>25</v>
      </c>
      <c r="N126" t="s">
        <v>651</v>
      </c>
      <c r="O126" t="s">
        <v>652</v>
      </c>
      <c r="P126" t="s">
        <v>28</v>
      </c>
      <c r="Q126" t="s">
        <v>58</v>
      </c>
    </row>
    <row r="127" spans="1:17" x14ac:dyDescent="0.3">
      <c r="A127" t="s">
        <v>653</v>
      </c>
      <c r="B127" t="s">
        <v>654</v>
      </c>
      <c r="C127" t="s">
        <v>210</v>
      </c>
      <c r="D127" t="s">
        <v>34</v>
      </c>
      <c r="E127" t="s">
        <v>230</v>
      </c>
      <c r="F127" t="s">
        <v>95</v>
      </c>
      <c r="G127" t="s">
        <v>162</v>
      </c>
      <c r="H127" t="s">
        <v>23</v>
      </c>
      <c r="I127" t="s">
        <v>97</v>
      </c>
      <c r="J127">
        <v>29864.61</v>
      </c>
      <c r="K127" s="1">
        <v>43688</v>
      </c>
      <c r="L127">
        <v>6</v>
      </c>
      <c r="M127" t="s">
        <v>25</v>
      </c>
      <c r="N127" t="s">
        <v>655</v>
      </c>
      <c r="O127" t="s">
        <v>656</v>
      </c>
      <c r="P127" t="s">
        <v>28</v>
      </c>
      <c r="Q127" t="s">
        <v>58</v>
      </c>
    </row>
    <row r="128" spans="1:17" x14ac:dyDescent="0.3">
      <c r="A128" t="s">
        <v>657</v>
      </c>
      <c r="B128" t="s">
        <v>658</v>
      </c>
      <c r="C128" t="s">
        <v>271</v>
      </c>
      <c r="D128" t="s">
        <v>361</v>
      </c>
      <c r="E128" t="s">
        <v>62</v>
      </c>
      <c r="F128" t="s">
        <v>22</v>
      </c>
      <c r="G128" t="s">
        <v>260</v>
      </c>
      <c r="H128" t="s">
        <v>23</v>
      </c>
      <c r="I128" t="s">
        <v>24</v>
      </c>
      <c r="J128">
        <v>53261.17</v>
      </c>
      <c r="K128" s="1">
        <v>44683</v>
      </c>
      <c r="L128">
        <v>3</v>
      </c>
      <c r="M128" t="s">
        <v>25</v>
      </c>
      <c r="N128" t="s">
        <v>659</v>
      </c>
      <c r="O128" t="s">
        <v>660</v>
      </c>
      <c r="P128" t="s">
        <v>28</v>
      </c>
      <c r="Q128" t="s">
        <v>58</v>
      </c>
    </row>
    <row r="129" spans="1:17" x14ac:dyDescent="0.3">
      <c r="A129" t="s">
        <v>661</v>
      </c>
      <c r="B129" t="s">
        <v>662</v>
      </c>
      <c r="C129" t="s">
        <v>108</v>
      </c>
      <c r="D129" t="s">
        <v>199</v>
      </c>
      <c r="E129" t="s">
        <v>63</v>
      </c>
      <c r="F129" t="s">
        <v>95</v>
      </c>
      <c r="G129" t="s">
        <v>111</v>
      </c>
      <c r="H129" t="s">
        <v>55</v>
      </c>
      <c r="I129" t="s">
        <v>37</v>
      </c>
      <c r="J129">
        <v>54655.92</v>
      </c>
      <c r="K129" s="1">
        <v>44647</v>
      </c>
      <c r="L129">
        <v>4</v>
      </c>
      <c r="M129" t="s">
        <v>25</v>
      </c>
      <c r="N129" t="s">
        <v>663</v>
      </c>
      <c r="O129" t="s">
        <v>664</v>
      </c>
      <c r="P129" t="s">
        <v>28</v>
      </c>
      <c r="Q129" t="s">
        <v>29</v>
      </c>
    </row>
    <row r="130" spans="1:17" x14ac:dyDescent="0.3">
      <c r="A130" t="s">
        <v>665</v>
      </c>
      <c r="B130" t="s">
        <v>666</v>
      </c>
      <c r="C130" t="s">
        <v>144</v>
      </c>
      <c r="D130" t="s">
        <v>200</v>
      </c>
      <c r="E130" t="s">
        <v>253</v>
      </c>
      <c r="F130" t="s">
        <v>73</v>
      </c>
      <c r="G130" t="s">
        <v>87</v>
      </c>
      <c r="H130" t="s">
        <v>66</v>
      </c>
      <c r="I130" t="s">
        <v>97</v>
      </c>
      <c r="J130">
        <v>53731.519999999997</v>
      </c>
      <c r="K130" s="1">
        <v>44747</v>
      </c>
      <c r="L130">
        <v>3</v>
      </c>
      <c r="M130" t="s">
        <v>25</v>
      </c>
      <c r="N130" t="s">
        <v>667</v>
      </c>
      <c r="O130" t="s">
        <v>668</v>
      </c>
      <c r="P130" t="s">
        <v>28</v>
      </c>
      <c r="Q130" t="s">
        <v>58</v>
      </c>
    </row>
    <row r="131" spans="1:17" x14ac:dyDescent="0.3">
      <c r="A131" t="s">
        <v>669</v>
      </c>
      <c r="B131" t="s">
        <v>670</v>
      </c>
      <c r="C131" t="s">
        <v>167</v>
      </c>
      <c r="D131" t="s">
        <v>161</v>
      </c>
      <c r="E131" t="s">
        <v>341</v>
      </c>
      <c r="F131" t="s">
        <v>95</v>
      </c>
      <c r="G131" t="s">
        <v>96</v>
      </c>
      <c r="H131" t="s">
        <v>55</v>
      </c>
      <c r="I131" t="s">
        <v>47</v>
      </c>
      <c r="J131">
        <v>30888.16</v>
      </c>
      <c r="K131" s="1">
        <v>44926</v>
      </c>
      <c r="L131">
        <v>3</v>
      </c>
      <c r="M131" t="s">
        <v>25</v>
      </c>
      <c r="N131" t="s">
        <v>671</v>
      </c>
      <c r="O131" t="s">
        <v>672</v>
      </c>
      <c r="P131" t="s">
        <v>28</v>
      </c>
      <c r="Q131" t="s">
        <v>29</v>
      </c>
    </row>
    <row r="132" spans="1:17" x14ac:dyDescent="0.3">
      <c r="A132" t="s">
        <v>673</v>
      </c>
      <c r="B132" t="s">
        <v>674</v>
      </c>
      <c r="C132" t="s">
        <v>491</v>
      </c>
      <c r="D132" t="s">
        <v>361</v>
      </c>
      <c r="E132" t="s">
        <v>508</v>
      </c>
      <c r="F132" t="s">
        <v>64</v>
      </c>
      <c r="G132" t="s">
        <v>555</v>
      </c>
      <c r="H132" t="s">
        <v>55</v>
      </c>
      <c r="I132" t="s">
        <v>47</v>
      </c>
      <c r="J132">
        <v>52407.13</v>
      </c>
      <c r="K132" s="1">
        <v>44112</v>
      </c>
      <c r="L132">
        <v>5</v>
      </c>
      <c r="M132" t="s">
        <v>25</v>
      </c>
      <c r="N132" t="s">
        <v>675</v>
      </c>
      <c r="O132" t="s">
        <v>676</v>
      </c>
      <c r="P132" t="s">
        <v>28</v>
      </c>
      <c r="Q132" t="s">
        <v>29</v>
      </c>
    </row>
    <row r="133" spans="1:17" x14ac:dyDescent="0.3">
      <c r="A133" t="s">
        <v>677</v>
      </c>
      <c r="B133" t="s">
        <v>678</v>
      </c>
      <c r="C133" t="s">
        <v>138</v>
      </c>
      <c r="D133" t="s">
        <v>508</v>
      </c>
      <c r="E133" t="s">
        <v>20</v>
      </c>
      <c r="F133" t="s">
        <v>22</v>
      </c>
      <c r="G133" t="s">
        <v>181</v>
      </c>
      <c r="H133" t="s">
        <v>66</v>
      </c>
      <c r="I133" t="s">
        <v>37</v>
      </c>
      <c r="J133">
        <v>18164.650000000001</v>
      </c>
      <c r="K133" s="1">
        <v>45189</v>
      </c>
      <c r="L133">
        <v>2</v>
      </c>
      <c r="M133" t="s">
        <v>25</v>
      </c>
      <c r="N133" t="s">
        <v>679</v>
      </c>
      <c r="O133" t="s">
        <v>680</v>
      </c>
      <c r="P133" t="s">
        <v>28</v>
      </c>
      <c r="Q133" t="s">
        <v>29</v>
      </c>
    </row>
    <row r="134" spans="1:17" x14ac:dyDescent="0.3">
      <c r="A134" t="s">
        <v>681</v>
      </c>
      <c r="B134" t="s">
        <v>682</v>
      </c>
      <c r="C134" t="s">
        <v>108</v>
      </c>
      <c r="D134" t="s">
        <v>259</v>
      </c>
      <c r="E134" t="s">
        <v>86</v>
      </c>
      <c r="F134" t="s">
        <v>64</v>
      </c>
      <c r="G134" t="s">
        <v>555</v>
      </c>
      <c r="H134" t="s">
        <v>66</v>
      </c>
      <c r="I134" t="s">
        <v>37</v>
      </c>
      <c r="J134">
        <v>39719.17</v>
      </c>
      <c r="K134" s="1">
        <v>44916</v>
      </c>
      <c r="L134">
        <v>3</v>
      </c>
      <c r="M134" t="s">
        <v>25</v>
      </c>
      <c r="N134" t="s">
        <v>683</v>
      </c>
      <c r="O134" t="s">
        <v>684</v>
      </c>
      <c r="P134" t="s">
        <v>28</v>
      </c>
      <c r="Q134" t="s">
        <v>29</v>
      </c>
    </row>
    <row r="135" spans="1:17" x14ac:dyDescent="0.3">
      <c r="A135" t="s">
        <v>685</v>
      </c>
      <c r="B135" t="s">
        <v>686</v>
      </c>
      <c r="C135" t="s">
        <v>276</v>
      </c>
      <c r="D135" t="s">
        <v>486</v>
      </c>
      <c r="E135" t="s">
        <v>242</v>
      </c>
      <c r="F135" t="s">
        <v>224</v>
      </c>
      <c r="G135" t="s">
        <v>347</v>
      </c>
      <c r="H135" t="s">
        <v>66</v>
      </c>
      <c r="I135" t="s">
        <v>37</v>
      </c>
      <c r="J135">
        <v>40067.760000000002</v>
      </c>
      <c r="K135" s="1">
        <v>44451</v>
      </c>
      <c r="L135">
        <v>4</v>
      </c>
      <c r="M135" t="s">
        <v>25</v>
      </c>
      <c r="N135" t="s">
        <v>687</v>
      </c>
      <c r="O135" t="s">
        <v>688</v>
      </c>
      <c r="P135" t="s">
        <v>28</v>
      </c>
      <c r="Q135" t="s">
        <v>58</v>
      </c>
    </row>
    <row r="136" spans="1:17" x14ac:dyDescent="0.3">
      <c r="A136" t="s">
        <v>689</v>
      </c>
      <c r="B136" t="s">
        <v>690</v>
      </c>
      <c r="C136" t="s">
        <v>205</v>
      </c>
      <c r="D136" t="s">
        <v>277</v>
      </c>
      <c r="E136" t="s">
        <v>110</v>
      </c>
      <c r="F136" t="s">
        <v>73</v>
      </c>
      <c r="G136" t="s">
        <v>424</v>
      </c>
      <c r="H136" t="s">
        <v>23</v>
      </c>
      <c r="I136" t="s">
        <v>47</v>
      </c>
      <c r="J136">
        <v>48162.99</v>
      </c>
      <c r="K136" s="1">
        <v>44478</v>
      </c>
      <c r="L136">
        <v>4</v>
      </c>
      <c r="M136" t="s">
        <v>25</v>
      </c>
      <c r="N136" t="s">
        <v>691</v>
      </c>
      <c r="O136" t="s">
        <v>692</v>
      </c>
      <c r="P136" t="s">
        <v>28</v>
      </c>
      <c r="Q136" t="s">
        <v>29</v>
      </c>
    </row>
    <row r="137" spans="1:17" x14ac:dyDescent="0.3">
      <c r="A137" t="s">
        <v>693</v>
      </c>
      <c r="B137" t="s">
        <v>694</v>
      </c>
      <c r="C137" t="s">
        <v>192</v>
      </c>
      <c r="D137" t="s">
        <v>327</v>
      </c>
      <c r="E137" t="s">
        <v>21</v>
      </c>
      <c r="F137" t="s">
        <v>22</v>
      </c>
      <c r="G137" t="s">
        <v>260</v>
      </c>
      <c r="H137" t="s">
        <v>46</v>
      </c>
      <c r="I137" t="s">
        <v>47</v>
      </c>
      <c r="J137">
        <v>46887.39</v>
      </c>
      <c r="K137" s="1">
        <v>44470</v>
      </c>
      <c r="L137">
        <v>4</v>
      </c>
      <c r="M137" t="s">
        <v>25</v>
      </c>
      <c r="N137" t="s">
        <v>695</v>
      </c>
      <c r="O137" t="s">
        <v>696</v>
      </c>
      <c r="P137" t="s">
        <v>28</v>
      </c>
      <c r="Q137" t="s">
        <v>29</v>
      </c>
    </row>
    <row r="138" spans="1:17" x14ac:dyDescent="0.3">
      <c r="A138" t="s">
        <v>697</v>
      </c>
      <c r="B138" t="s">
        <v>698</v>
      </c>
      <c r="C138" t="s">
        <v>85</v>
      </c>
      <c r="D138" t="s">
        <v>53</v>
      </c>
      <c r="E138" t="s">
        <v>109</v>
      </c>
      <c r="F138" t="s">
        <v>132</v>
      </c>
      <c r="G138" t="s">
        <v>133</v>
      </c>
      <c r="H138" t="s">
        <v>23</v>
      </c>
      <c r="I138" t="s">
        <v>97</v>
      </c>
      <c r="J138">
        <v>50367.96</v>
      </c>
      <c r="K138" s="1">
        <v>45562</v>
      </c>
      <c r="L138">
        <v>1</v>
      </c>
      <c r="M138" t="s">
        <v>25</v>
      </c>
      <c r="N138" t="s">
        <v>699</v>
      </c>
      <c r="O138" t="s">
        <v>700</v>
      </c>
      <c r="P138" t="s">
        <v>28</v>
      </c>
      <c r="Q138" t="s">
        <v>29</v>
      </c>
    </row>
    <row r="139" spans="1:17" x14ac:dyDescent="0.3">
      <c r="A139" t="s">
        <v>701</v>
      </c>
      <c r="B139" t="s">
        <v>702</v>
      </c>
      <c r="C139" t="s">
        <v>61</v>
      </c>
      <c r="D139" t="s">
        <v>53</v>
      </c>
      <c r="E139" t="s">
        <v>277</v>
      </c>
      <c r="F139" t="s">
        <v>64</v>
      </c>
      <c r="G139" t="s">
        <v>555</v>
      </c>
      <c r="H139" t="s">
        <v>46</v>
      </c>
      <c r="I139" t="s">
        <v>47</v>
      </c>
      <c r="J139">
        <v>29975.18</v>
      </c>
      <c r="K139" s="1">
        <v>44187</v>
      </c>
      <c r="L139">
        <v>5</v>
      </c>
      <c r="M139" t="s">
        <v>25</v>
      </c>
      <c r="N139" t="s">
        <v>703</v>
      </c>
      <c r="O139" t="s">
        <v>704</v>
      </c>
      <c r="P139" t="s">
        <v>28</v>
      </c>
      <c r="Q139" t="s">
        <v>58</v>
      </c>
    </row>
    <row r="140" spans="1:17" x14ac:dyDescent="0.3">
      <c r="A140" t="s">
        <v>705</v>
      </c>
      <c r="B140" t="s">
        <v>706</v>
      </c>
      <c r="C140" t="s">
        <v>198</v>
      </c>
      <c r="D140" t="s">
        <v>199</v>
      </c>
      <c r="E140" t="s">
        <v>63</v>
      </c>
      <c r="F140" t="s">
        <v>64</v>
      </c>
      <c r="G140" t="s">
        <v>65</v>
      </c>
      <c r="H140" t="s">
        <v>66</v>
      </c>
      <c r="I140" t="s">
        <v>37</v>
      </c>
      <c r="J140">
        <v>23260.35</v>
      </c>
      <c r="K140" s="1">
        <v>44333</v>
      </c>
      <c r="L140">
        <v>4</v>
      </c>
      <c r="M140" t="s">
        <v>25</v>
      </c>
      <c r="N140" t="s">
        <v>517</v>
      </c>
      <c r="O140" t="s">
        <v>707</v>
      </c>
      <c r="P140" t="s">
        <v>28</v>
      </c>
      <c r="Q140" t="s">
        <v>29</v>
      </c>
    </row>
    <row r="141" spans="1:17" x14ac:dyDescent="0.3">
      <c r="A141" t="s">
        <v>708</v>
      </c>
      <c r="B141" t="s">
        <v>709</v>
      </c>
      <c r="C141" t="s">
        <v>299</v>
      </c>
      <c r="D141" t="s">
        <v>175</v>
      </c>
      <c r="E141" t="s">
        <v>286</v>
      </c>
      <c r="F141" t="s">
        <v>132</v>
      </c>
      <c r="G141" t="s">
        <v>133</v>
      </c>
      <c r="H141" t="s">
        <v>66</v>
      </c>
      <c r="I141" t="s">
        <v>97</v>
      </c>
      <c r="J141">
        <v>49453.93</v>
      </c>
      <c r="K141" s="1">
        <v>43999</v>
      </c>
      <c r="L141">
        <v>5</v>
      </c>
      <c r="M141" t="s">
        <v>25</v>
      </c>
      <c r="N141" t="s">
        <v>710</v>
      </c>
      <c r="O141" t="s">
        <v>711</v>
      </c>
      <c r="P141" t="s">
        <v>28</v>
      </c>
      <c r="Q141" t="s">
        <v>29</v>
      </c>
    </row>
    <row r="142" spans="1:17" x14ac:dyDescent="0.3">
      <c r="A142" t="s">
        <v>712</v>
      </c>
      <c r="B142" t="s">
        <v>713</v>
      </c>
      <c r="C142" t="s">
        <v>210</v>
      </c>
      <c r="D142" t="s">
        <v>150</v>
      </c>
      <c r="E142" t="s">
        <v>72</v>
      </c>
      <c r="F142" t="s">
        <v>73</v>
      </c>
      <c r="G142" t="s">
        <v>74</v>
      </c>
      <c r="H142" t="s">
        <v>55</v>
      </c>
      <c r="I142" t="s">
        <v>37</v>
      </c>
      <c r="J142">
        <v>18602.41</v>
      </c>
      <c r="K142" s="1">
        <v>43725</v>
      </c>
      <c r="L142">
        <v>6</v>
      </c>
      <c r="M142" t="s">
        <v>25</v>
      </c>
      <c r="N142" t="s">
        <v>714</v>
      </c>
      <c r="O142" t="s">
        <v>715</v>
      </c>
      <c r="P142" t="s">
        <v>28</v>
      </c>
      <c r="Q142" t="s">
        <v>58</v>
      </c>
    </row>
    <row r="143" spans="1:17" x14ac:dyDescent="0.3">
      <c r="A143" t="s">
        <v>716</v>
      </c>
      <c r="B143" t="s">
        <v>717</v>
      </c>
      <c r="C143" t="s">
        <v>174</v>
      </c>
      <c r="D143" t="s">
        <v>43</v>
      </c>
      <c r="E143" t="s">
        <v>486</v>
      </c>
      <c r="F143" t="s">
        <v>224</v>
      </c>
      <c r="G143" t="s">
        <v>313</v>
      </c>
      <c r="H143" t="s">
        <v>66</v>
      </c>
      <c r="I143" t="s">
        <v>97</v>
      </c>
      <c r="J143">
        <v>44861.57</v>
      </c>
      <c r="K143" s="1">
        <v>44082</v>
      </c>
      <c r="L143">
        <v>5</v>
      </c>
      <c r="M143" t="s">
        <v>25</v>
      </c>
      <c r="N143" t="s">
        <v>718</v>
      </c>
      <c r="O143" t="s">
        <v>719</v>
      </c>
      <c r="P143" t="s">
        <v>28</v>
      </c>
      <c r="Q143" t="s">
        <v>29</v>
      </c>
    </row>
    <row r="144" spans="1:17" x14ac:dyDescent="0.3">
      <c r="A144" t="s">
        <v>720</v>
      </c>
      <c r="B144" t="s">
        <v>721</v>
      </c>
      <c r="C144" t="s">
        <v>102</v>
      </c>
      <c r="D144" t="s">
        <v>286</v>
      </c>
      <c r="E144" t="s">
        <v>242</v>
      </c>
      <c r="F144" t="s">
        <v>64</v>
      </c>
      <c r="G144" t="s">
        <v>65</v>
      </c>
      <c r="H144" t="s">
        <v>66</v>
      </c>
      <c r="I144" t="s">
        <v>47</v>
      </c>
      <c r="J144">
        <v>35674.910000000003</v>
      </c>
      <c r="K144" s="1">
        <v>45160</v>
      </c>
      <c r="L144">
        <v>2</v>
      </c>
      <c r="M144" t="s">
        <v>25</v>
      </c>
      <c r="N144" t="s">
        <v>722</v>
      </c>
      <c r="O144" t="s">
        <v>723</v>
      </c>
      <c r="P144" t="s">
        <v>28</v>
      </c>
      <c r="Q144" t="s">
        <v>29</v>
      </c>
    </row>
    <row r="145" spans="1:17" x14ac:dyDescent="0.3">
      <c r="A145" t="s">
        <v>724</v>
      </c>
      <c r="B145" t="s">
        <v>725</v>
      </c>
      <c r="C145" t="s">
        <v>252</v>
      </c>
      <c r="D145" t="s">
        <v>286</v>
      </c>
      <c r="E145" t="s">
        <v>253</v>
      </c>
      <c r="F145" t="s">
        <v>224</v>
      </c>
      <c r="G145" t="s">
        <v>225</v>
      </c>
      <c r="H145" t="s">
        <v>46</v>
      </c>
      <c r="I145" t="s">
        <v>47</v>
      </c>
      <c r="J145">
        <v>41238.959999999999</v>
      </c>
      <c r="K145" s="1">
        <v>45318</v>
      </c>
      <c r="L145">
        <v>2</v>
      </c>
      <c r="M145" t="s">
        <v>25</v>
      </c>
      <c r="N145" t="s">
        <v>726</v>
      </c>
      <c r="O145" t="s">
        <v>727</v>
      </c>
      <c r="P145" t="s">
        <v>28</v>
      </c>
      <c r="Q145" t="s">
        <v>58</v>
      </c>
    </row>
    <row r="146" spans="1:17" x14ac:dyDescent="0.3">
      <c r="A146" t="s">
        <v>728</v>
      </c>
      <c r="B146" t="s">
        <v>729</v>
      </c>
      <c r="C146" t="s">
        <v>299</v>
      </c>
      <c r="D146" t="s">
        <v>139</v>
      </c>
      <c r="E146" t="s">
        <v>117</v>
      </c>
      <c r="F146" t="s">
        <v>35</v>
      </c>
      <c r="G146" t="s">
        <v>45</v>
      </c>
      <c r="H146" t="s">
        <v>55</v>
      </c>
      <c r="I146" t="s">
        <v>47</v>
      </c>
      <c r="J146">
        <v>38475.68</v>
      </c>
      <c r="K146" s="1">
        <v>44400</v>
      </c>
      <c r="L146">
        <v>4</v>
      </c>
      <c r="M146" t="s">
        <v>25</v>
      </c>
      <c r="N146" t="s">
        <v>730</v>
      </c>
      <c r="O146" t="s">
        <v>731</v>
      </c>
      <c r="P146" t="s">
        <v>28</v>
      </c>
      <c r="Q146" t="s">
        <v>29</v>
      </c>
    </row>
    <row r="147" spans="1:17" x14ac:dyDescent="0.3">
      <c r="A147" t="s">
        <v>732</v>
      </c>
      <c r="B147" t="s">
        <v>733</v>
      </c>
      <c r="C147" t="s">
        <v>71</v>
      </c>
      <c r="D147" t="s">
        <v>217</v>
      </c>
      <c r="E147" t="s">
        <v>361</v>
      </c>
      <c r="F147" t="s">
        <v>22</v>
      </c>
      <c r="G147" t="s">
        <v>181</v>
      </c>
      <c r="H147" t="s">
        <v>55</v>
      </c>
      <c r="I147" t="s">
        <v>24</v>
      </c>
      <c r="J147">
        <v>54514.65</v>
      </c>
      <c r="K147" s="1">
        <v>43716</v>
      </c>
      <c r="L147">
        <v>6</v>
      </c>
      <c r="M147" t="s">
        <v>25</v>
      </c>
      <c r="N147" t="s">
        <v>734</v>
      </c>
      <c r="O147" t="s">
        <v>735</v>
      </c>
      <c r="P147" t="s">
        <v>28</v>
      </c>
      <c r="Q147" t="s">
        <v>29</v>
      </c>
    </row>
    <row r="148" spans="1:17" x14ac:dyDescent="0.3">
      <c r="A148" t="s">
        <v>736</v>
      </c>
      <c r="B148" t="s">
        <v>737</v>
      </c>
      <c r="C148" t="s">
        <v>554</v>
      </c>
      <c r="D148" t="s">
        <v>223</v>
      </c>
      <c r="E148" t="s">
        <v>193</v>
      </c>
      <c r="F148" t="s">
        <v>35</v>
      </c>
      <c r="G148" t="s">
        <v>45</v>
      </c>
      <c r="H148" t="s">
        <v>66</v>
      </c>
      <c r="I148" t="s">
        <v>37</v>
      </c>
      <c r="J148">
        <v>43966.99</v>
      </c>
      <c r="K148" s="1">
        <v>45460</v>
      </c>
      <c r="L148">
        <v>1</v>
      </c>
      <c r="M148" t="s">
        <v>25</v>
      </c>
      <c r="N148" t="s">
        <v>738</v>
      </c>
      <c r="O148" t="s">
        <v>739</v>
      </c>
      <c r="P148" t="s">
        <v>28</v>
      </c>
      <c r="Q148" t="s">
        <v>29</v>
      </c>
    </row>
    <row r="149" spans="1:17" x14ac:dyDescent="0.3">
      <c r="A149" t="s">
        <v>740</v>
      </c>
      <c r="B149" t="s">
        <v>741</v>
      </c>
      <c r="C149" t="s">
        <v>360</v>
      </c>
      <c r="D149" t="s">
        <v>242</v>
      </c>
      <c r="E149" t="s">
        <v>109</v>
      </c>
      <c r="F149" t="s">
        <v>22</v>
      </c>
      <c r="G149" t="s">
        <v>22</v>
      </c>
      <c r="H149" t="s">
        <v>23</v>
      </c>
      <c r="I149" t="s">
        <v>24</v>
      </c>
      <c r="J149">
        <v>52211.23</v>
      </c>
      <c r="K149" s="1">
        <v>45391</v>
      </c>
      <c r="L149">
        <v>2</v>
      </c>
      <c r="M149" t="s">
        <v>25</v>
      </c>
      <c r="N149" t="s">
        <v>742</v>
      </c>
      <c r="O149" t="s">
        <v>743</v>
      </c>
      <c r="P149" t="s">
        <v>28</v>
      </c>
      <c r="Q149" t="s">
        <v>29</v>
      </c>
    </row>
    <row r="150" spans="1:17" x14ac:dyDescent="0.3">
      <c r="A150" t="s">
        <v>744</v>
      </c>
      <c r="B150" t="s">
        <v>745</v>
      </c>
      <c r="C150" t="s">
        <v>429</v>
      </c>
      <c r="D150" t="s">
        <v>180</v>
      </c>
      <c r="E150" t="s">
        <v>94</v>
      </c>
      <c r="F150" t="s">
        <v>224</v>
      </c>
      <c r="G150" t="s">
        <v>225</v>
      </c>
      <c r="H150" t="s">
        <v>23</v>
      </c>
      <c r="I150" t="s">
        <v>97</v>
      </c>
      <c r="J150">
        <v>45118.63</v>
      </c>
      <c r="K150" s="1">
        <v>45387</v>
      </c>
      <c r="L150">
        <v>2</v>
      </c>
      <c r="M150" t="s">
        <v>25</v>
      </c>
      <c r="N150" t="s">
        <v>746</v>
      </c>
      <c r="O150" t="s">
        <v>747</v>
      </c>
      <c r="P150" t="s">
        <v>28</v>
      </c>
      <c r="Q150" t="s">
        <v>58</v>
      </c>
    </row>
    <row r="151" spans="1:17" x14ac:dyDescent="0.3">
      <c r="A151" t="s">
        <v>748</v>
      </c>
      <c r="B151" t="s">
        <v>749</v>
      </c>
      <c r="C151" t="s">
        <v>554</v>
      </c>
      <c r="D151" t="s">
        <v>259</v>
      </c>
      <c r="E151" t="s">
        <v>62</v>
      </c>
      <c r="F151" t="s">
        <v>224</v>
      </c>
      <c r="G151" t="s">
        <v>225</v>
      </c>
      <c r="H151" t="s">
        <v>23</v>
      </c>
      <c r="I151" t="s">
        <v>97</v>
      </c>
      <c r="J151">
        <v>46613.17</v>
      </c>
      <c r="K151" s="1">
        <v>43797</v>
      </c>
      <c r="L151">
        <v>6</v>
      </c>
      <c r="M151" t="s">
        <v>25</v>
      </c>
      <c r="N151" t="s">
        <v>750</v>
      </c>
      <c r="O151" t="s">
        <v>751</v>
      </c>
      <c r="P151" t="s">
        <v>28</v>
      </c>
      <c r="Q151" t="s">
        <v>29</v>
      </c>
    </row>
    <row r="152" spans="1:17" x14ac:dyDescent="0.3">
      <c r="A152" t="s">
        <v>752</v>
      </c>
      <c r="B152" t="s">
        <v>753</v>
      </c>
      <c r="C152" t="s">
        <v>276</v>
      </c>
      <c r="D152" t="s">
        <v>327</v>
      </c>
      <c r="E152" t="s">
        <v>44</v>
      </c>
      <c r="F152" t="s">
        <v>95</v>
      </c>
      <c r="G152" t="s">
        <v>96</v>
      </c>
      <c r="H152" t="s">
        <v>46</v>
      </c>
      <c r="I152" t="s">
        <v>47</v>
      </c>
      <c r="J152">
        <v>33401.49</v>
      </c>
      <c r="K152" s="1">
        <v>44153</v>
      </c>
      <c r="L152">
        <v>5</v>
      </c>
      <c r="M152" t="s">
        <v>25</v>
      </c>
      <c r="N152" t="s">
        <v>754</v>
      </c>
      <c r="O152" t="s">
        <v>755</v>
      </c>
      <c r="P152" t="s">
        <v>28</v>
      </c>
      <c r="Q152" t="s">
        <v>58</v>
      </c>
    </row>
    <row r="153" spans="1:17" x14ac:dyDescent="0.3">
      <c r="A153" t="s">
        <v>756</v>
      </c>
      <c r="B153" t="s">
        <v>757</v>
      </c>
      <c r="C153" t="s">
        <v>447</v>
      </c>
      <c r="D153" t="s">
        <v>266</v>
      </c>
      <c r="E153" t="s">
        <v>211</v>
      </c>
      <c r="F153" t="s">
        <v>132</v>
      </c>
      <c r="G153" t="s">
        <v>133</v>
      </c>
      <c r="H153" t="s">
        <v>66</v>
      </c>
      <c r="I153" t="s">
        <v>24</v>
      </c>
      <c r="J153">
        <v>31650.02</v>
      </c>
      <c r="K153" s="1">
        <v>45031</v>
      </c>
      <c r="L153">
        <v>3</v>
      </c>
      <c r="M153" t="s">
        <v>25</v>
      </c>
      <c r="N153" t="s">
        <v>758</v>
      </c>
      <c r="O153" t="s">
        <v>759</v>
      </c>
      <c r="P153" t="s">
        <v>28</v>
      </c>
      <c r="Q153" t="s">
        <v>58</v>
      </c>
    </row>
    <row r="154" spans="1:17" x14ac:dyDescent="0.3">
      <c r="A154" t="s">
        <v>760</v>
      </c>
      <c r="B154" t="s">
        <v>761</v>
      </c>
      <c r="C154" t="s">
        <v>629</v>
      </c>
      <c r="D154" t="s">
        <v>145</v>
      </c>
      <c r="E154" t="s">
        <v>110</v>
      </c>
      <c r="F154" t="s">
        <v>73</v>
      </c>
      <c r="G154" t="s">
        <v>424</v>
      </c>
      <c r="H154" t="s">
        <v>55</v>
      </c>
      <c r="I154" t="s">
        <v>37</v>
      </c>
      <c r="J154">
        <v>49413.22</v>
      </c>
      <c r="K154" s="1">
        <v>44139</v>
      </c>
      <c r="L154">
        <v>5</v>
      </c>
      <c r="M154" t="s">
        <v>25</v>
      </c>
      <c r="N154" t="s">
        <v>762</v>
      </c>
      <c r="O154" t="s">
        <v>763</v>
      </c>
      <c r="P154" t="s">
        <v>28</v>
      </c>
      <c r="Q154" t="s">
        <v>29</v>
      </c>
    </row>
    <row r="155" spans="1:17" x14ac:dyDescent="0.3">
      <c r="A155" t="s">
        <v>764</v>
      </c>
      <c r="B155" t="s">
        <v>765</v>
      </c>
      <c r="C155" t="s">
        <v>32</v>
      </c>
      <c r="D155" t="s">
        <v>242</v>
      </c>
      <c r="E155" t="s">
        <v>486</v>
      </c>
      <c r="F155" t="s">
        <v>118</v>
      </c>
      <c r="G155" t="s">
        <v>119</v>
      </c>
      <c r="H155" t="s">
        <v>55</v>
      </c>
      <c r="I155" t="s">
        <v>24</v>
      </c>
      <c r="J155">
        <v>36700.83</v>
      </c>
      <c r="K155" s="1">
        <v>44323</v>
      </c>
      <c r="L155">
        <v>4</v>
      </c>
      <c r="M155" t="s">
        <v>25</v>
      </c>
      <c r="N155" t="s">
        <v>766</v>
      </c>
      <c r="O155" t="s">
        <v>767</v>
      </c>
      <c r="P155" t="s">
        <v>28</v>
      </c>
      <c r="Q155" t="s">
        <v>29</v>
      </c>
    </row>
    <row r="156" spans="1:17" x14ac:dyDescent="0.3">
      <c r="A156" t="s">
        <v>768</v>
      </c>
      <c r="B156" t="s">
        <v>769</v>
      </c>
      <c r="C156" t="s">
        <v>265</v>
      </c>
      <c r="D156" t="s">
        <v>33</v>
      </c>
      <c r="E156" t="s">
        <v>103</v>
      </c>
      <c r="F156" t="s">
        <v>22</v>
      </c>
      <c r="G156" t="s">
        <v>22</v>
      </c>
      <c r="H156" t="s">
        <v>55</v>
      </c>
      <c r="I156" t="s">
        <v>47</v>
      </c>
      <c r="J156">
        <v>21909.34</v>
      </c>
      <c r="K156" s="1">
        <v>44708</v>
      </c>
      <c r="L156">
        <v>3</v>
      </c>
      <c r="M156" t="s">
        <v>25</v>
      </c>
      <c r="N156" t="s">
        <v>770</v>
      </c>
      <c r="O156" t="s">
        <v>771</v>
      </c>
      <c r="P156" t="s">
        <v>28</v>
      </c>
      <c r="Q156" t="s">
        <v>29</v>
      </c>
    </row>
    <row r="157" spans="1:17" x14ac:dyDescent="0.3">
      <c r="A157" t="s">
        <v>772</v>
      </c>
      <c r="B157" t="s">
        <v>773</v>
      </c>
      <c r="C157" t="s">
        <v>346</v>
      </c>
      <c r="D157" t="s">
        <v>266</v>
      </c>
      <c r="E157" t="s">
        <v>63</v>
      </c>
      <c r="F157" t="s">
        <v>73</v>
      </c>
      <c r="G157" t="s">
        <v>74</v>
      </c>
      <c r="H157" t="s">
        <v>46</v>
      </c>
      <c r="I157" t="s">
        <v>47</v>
      </c>
      <c r="J157">
        <v>21374.880000000001</v>
      </c>
      <c r="K157" s="1">
        <v>45120</v>
      </c>
      <c r="L157">
        <v>2</v>
      </c>
      <c r="M157" t="s">
        <v>25</v>
      </c>
      <c r="N157" t="s">
        <v>774</v>
      </c>
      <c r="O157" t="s">
        <v>775</v>
      </c>
      <c r="P157" t="s">
        <v>28</v>
      </c>
      <c r="Q157" t="s">
        <v>29</v>
      </c>
    </row>
    <row r="158" spans="1:17" x14ac:dyDescent="0.3">
      <c r="A158" t="s">
        <v>776</v>
      </c>
      <c r="B158" t="s">
        <v>777</v>
      </c>
      <c r="C158" t="s">
        <v>778</v>
      </c>
      <c r="D158" t="s">
        <v>139</v>
      </c>
      <c r="E158" t="s">
        <v>361</v>
      </c>
      <c r="F158" t="s">
        <v>73</v>
      </c>
      <c r="G158" t="s">
        <v>74</v>
      </c>
      <c r="H158" t="s">
        <v>23</v>
      </c>
      <c r="I158" t="s">
        <v>47</v>
      </c>
      <c r="J158">
        <v>25330.92</v>
      </c>
      <c r="K158" s="1">
        <v>44808</v>
      </c>
      <c r="L158">
        <v>3</v>
      </c>
      <c r="M158" t="s">
        <v>25</v>
      </c>
      <c r="N158" t="s">
        <v>779</v>
      </c>
      <c r="O158" t="s">
        <v>780</v>
      </c>
      <c r="P158" t="s">
        <v>28</v>
      </c>
      <c r="Q158" t="s">
        <v>29</v>
      </c>
    </row>
    <row r="159" spans="1:17" x14ac:dyDescent="0.3">
      <c r="A159" t="s">
        <v>781</v>
      </c>
      <c r="B159" t="s">
        <v>782</v>
      </c>
      <c r="C159" t="s">
        <v>130</v>
      </c>
      <c r="D159" t="s">
        <v>230</v>
      </c>
      <c r="E159" t="s">
        <v>361</v>
      </c>
      <c r="F159" t="s">
        <v>73</v>
      </c>
      <c r="G159" t="s">
        <v>424</v>
      </c>
      <c r="H159" t="s">
        <v>55</v>
      </c>
      <c r="I159" t="s">
        <v>47</v>
      </c>
      <c r="J159">
        <v>52192.87</v>
      </c>
      <c r="K159" s="1">
        <v>44741</v>
      </c>
      <c r="L159">
        <v>3</v>
      </c>
      <c r="M159" t="s">
        <v>25</v>
      </c>
      <c r="N159" t="s">
        <v>783</v>
      </c>
      <c r="O159" t="s">
        <v>784</v>
      </c>
      <c r="P159" t="s">
        <v>28</v>
      </c>
      <c r="Q159" t="s">
        <v>58</v>
      </c>
    </row>
    <row r="160" spans="1:17" x14ac:dyDescent="0.3">
      <c r="A160" t="s">
        <v>785</v>
      </c>
      <c r="B160" t="s">
        <v>786</v>
      </c>
      <c r="C160" t="s">
        <v>419</v>
      </c>
      <c r="D160" t="s">
        <v>327</v>
      </c>
      <c r="E160" t="s">
        <v>253</v>
      </c>
      <c r="F160" t="s">
        <v>22</v>
      </c>
      <c r="G160" t="s">
        <v>260</v>
      </c>
      <c r="H160" t="s">
        <v>46</v>
      </c>
      <c r="I160" t="s">
        <v>37</v>
      </c>
      <c r="J160">
        <v>33243.71</v>
      </c>
      <c r="K160" s="1">
        <v>44501</v>
      </c>
      <c r="L160">
        <v>4</v>
      </c>
      <c r="M160" t="s">
        <v>25</v>
      </c>
      <c r="N160" t="s">
        <v>787</v>
      </c>
      <c r="O160" t="s">
        <v>788</v>
      </c>
      <c r="P160" t="s">
        <v>28</v>
      </c>
      <c r="Q160" t="s">
        <v>58</v>
      </c>
    </row>
    <row r="161" spans="1:17" x14ac:dyDescent="0.3">
      <c r="A161" t="s">
        <v>789</v>
      </c>
      <c r="B161" t="s">
        <v>790</v>
      </c>
      <c r="C161" t="s">
        <v>167</v>
      </c>
      <c r="D161" t="s">
        <v>145</v>
      </c>
      <c r="E161" t="s">
        <v>259</v>
      </c>
      <c r="F161" t="s">
        <v>64</v>
      </c>
      <c r="G161" t="s">
        <v>555</v>
      </c>
      <c r="H161" t="s">
        <v>46</v>
      </c>
      <c r="I161" t="s">
        <v>37</v>
      </c>
      <c r="J161">
        <v>28006.12</v>
      </c>
      <c r="K161" s="1">
        <v>45575</v>
      </c>
      <c r="L161">
        <v>1</v>
      </c>
      <c r="M161" t="s">
        <v>25</v>
      </c>
      <c r="N161" t="s">
        <v>791</v>
      </c>
      <c r="O161" t="s">
        <v>792</v>
      </c>
      <c r="P161" t="s">
        <v>28</v>
      </c>
      <c r="Q161" t="s">
        <v>29</v>
      </c>
    </row>
    <row r="162" spans="1:17" x14ac:dyDescent="0.3">
      <c r="A162" t="s">
        <v>793</v>
      </c>
      <c r="B162" t="s">
        <v>794</v>
      </c>
      <c r="C162" t="s">
        <v>198</v>
      </c>
      <c r="D162" t="s">
        <v>54</v>
      </c>
      <c r="E162" t="s">
        <v>117</v>
      </c>
      <c r="F162" t="s">
        <v>35</v>
      </c>
      <c r="G162" t="s">
        <v>45</v>
      </c>
      <c r="H162" t="s">
        <v>55</v>
      </c>
      <c r="I162" t="s">
        <v>47</v>
      </c>
      <c r="J162">
        <v>39300.61</v>
      </c>
      <c r="K162" s="1">
        <v>43995</v>
      </c>
      <c r="L162">
        <v>5</v>
      </c>
      <c r="M162" t="s">
        <v>25</v>
      </c>
      <c r="N162" t="s">
        <v>795</v>
      </c>
      <c r="O162" t="s">
        <v>796</v>
      </c>
      <c r="P162" t="s">
        <v>28</v>
      </c>
      <c r="Q162" t="s">
        <v>29</v>
      </c>
    </row>
    <row r="163" spans="1:17" x14ac:dyDescent="0.3">
      <c r="A163" t="s">
        <v>797</v>
      </c>
      <c r="B163" t="s">
        <v>798</v>
      </c>
      <c r="C163" t="s">
        <v>85</v>
      </c>
      <c r="D163" t="s">
        <v>266</v>
      </c>
      <c r="E163" t="s">
        <v>131</v>
      </c>
      <c r="F163" t="s">
        <v>118</v>
      </c>
      <c r="G163" t="s">
        <v>218</v>
      </c>
      <c r="H163" t="s">
        <v>55</v>
      </c>
      <c r="I163" t="s">
        <v>24</v>
      </c>
      <c r="J163">
        <v>26607.06</v>
      </c>
      <c r="K163" s="1">
        <v>45180</v>
      </c>
      <c r="L163">
        <v>2</v>
      </c>
      <c r="M163" t="s">
        <v>152</v>
      </c>
      <c r="N163" t="s">
        <v>799</v>
      </c>
      <c r="O163" t="s">
        <v>800</v>
      </c>
      <c r="P163" t="s">
        <v>28</v>
      </c>
      <c r="Q163" t="s">
        <v>29</v>
      </c>
    </row>
    <row r="164" spans="1:17" x14ac:dyDescent="0.3">
      <c r="A164" t="s">
        <v>801</v>
      </c>
      <c r="B164" t="s">
        <v>802</v>
      </c>
      <c r="C164" t="s">
        <v>447</v>
      </c>
      <c r="D164" t="s">
        <v>361</v>
      </c>
      <c r="E164" t="s">
        <v>86</v>
      </c>
      <c r="F164" t="s">
        <v>64</v>
      </c>
      <c r="G164" t="s">
        <v>65</v>
      </c>
      <c r="H164" t="s">
        <v>46</v>
      </c>
      <c r="I164" t="s">
        <v>37</v>
      </c>
      <c r="J164">
        <v>39682.620000000003</v>
      </c>
      <c r="K164" s="1">
        <v>44939</v>
      </c>
      <c r="L164">
        <v>3</v>
      </c>
      <c r="M164" t="s">
        <v>25</v>
      </c>
      <c r="N164" t="s">
        <v>803</v>
      </c>
      <c r="O164" t="s">
        <v>804</v>
      </c>
      <c r="P164" t="s">
        <v>28</v>
      </c>
      <c r="Q164" t="s">
        <v>29</v>
      </c>
    </row>
    <row r="165" spans="1:17" x14ac:dyDescent="0.3">
      <c r="A165" t="s">
        <v>805</v>
      </c>
      <c r="B165" t="s">
        <v>806</v>
      </c>
      <c r="C165" t="s">
        <v>235</v>
      </c>
      <c r="D165" t="s">
        <v>131</v>
      </c>
      <c r="E165" t="s">
        <v>180</v>
      </c>
      <c r="F165" t="s">
        <v>73</v>
      </c>
      <c r="G165" t="s">
        <v>87</v>
      </c>
      <c r="H165" t="s">
        <v>66</v>
      </c>
      <c r="I165" t="s">
        <v>24</v>
      </c>
      <c r="J165">
        <v>24737.02</v>
      </c>
      <c r="K165" s="1">
        <v>44977</v>
      </c>
      <c r="L165">
        <v>3</v>
      </c>
      <c r="M165" t="s">
        <v>25</v>
      </c>
      <c r="N165" t="s">
        <v>807</v>
      </c>
      <c r="O165" t="s">
        <v>808</v>
      </c>
      <c r="P165" t="s">
        <v>28</v>
      </c>
      <c r="Q165" t="s">
        <v>58</v>
      </c>
    </row>
    <row r="166" spans="1:17" x14ac:dyDescent="0.3">
      <c r="A166" t="s">
        <v>809</v>
      </c>
      <c r="B166" t="s">
        <v>810</v>
      </c>
      <c r="C166" t="s">
        <v>247</v>
      </c>
      <c r="D166" t="s">
        <v>43</v>
      </c>
      <c r="E166" t="s">
        <v>63</v>
      </c>
      <c r="F166" t="s">
        <v>64</v>
      </c>
      <c r="G166" t="s">
        <v>430</v>
      </c>
      <c r="H166" t="s">
        <v>55</v>
      </c>
      <c r="I166" t="s">
        <v>97</v>
      </c>
      <c r="J166">
        <v>25758.32</v>
      </c>
      <c r="K166" s="1">
        <v>44209</v>
      </c>
      <c r="L166">
        <v>5</v>
      </c>
      <c r="M166" t="s">
        <v>152</v>
      </c>
      <c r="N166" t="s">
        <v>811</v>
      </c>
      <c r="O166" t="s">
        <v>812</v>
      </c>
      <c r="P166" t="s">
        <v>28</v>
      </c>
      <c r="Q166" t="s">
        <v>29</v>
      </c>
    </row>
    <row r="167" spans="1:17" x14ac:dyDescent="0.3">
      <c r="A167" t="s">
        <v>813</v>
      </c>
      <c r="B167" t="s">
        <v>814</v>
      </c>
      <c r="C167" t="s">
        <v>85</v>
      </c>
      <c r="D167" t="s">
        <v>217</v>
      </c>
      <c r="E167" t="s">
        <v>161</v>
      </c>
      <c r="F167" t="s">
        <v>118</v>
      </c>
      <c r="G167" t="s">
        <v>119</v>
      </c>
      <c r="H167" t="s">
        <v>23</v>
      </c>
      <c r="I167" t="s">
        <v>47</v>
      </c>
      <c r="J167">
        <v>34697.629999999997</v>
      </c>
      <c r="K167" s="1">
        <v>43992</v>
      </c>
      <c r="L167">
        <v>5</v>
      </c>
      <c r="M167" t="s">
        <v>25</v>
      </c>
      <c r="N167" t="s">
        <v>815</v>
      </c>
      <c r="O167" t="s">
        <v>816</v>
      </c>
      <c r="P167" t="s">
        <v>28</v>
      </c>
      <c r="Q167" t="s">
        <v>29</v>
      </c>
    </row>
    <row r="168" spans="1:17" x14ac:dyDescent="0.3">
      <c r="A168" t="s">
        <v>817</v>
      </c>
      <c r="B168" t="s">
        <v>818</v>
      </c>
      <c r="C168" t="s">
        <v>92</v>
      </c>
      <c r="D168" t="s">
        <v>43</v>
      </c>
      <c r="E168" t="s">
        <v>230</v>
      </c>
      <c r="F168" t="s">
        <v>118</v>
      </c>
      <c r="G168" t="s">
        <v>119</v>
      </c>
      <c r="H168" t="s">
        <v>55</v>
      </c>
      <c r="I168" t="s">
        <v>37</v>
      </c>
      <c r="J168">
        <v>52870.36</v>
      </c>
      <c r="K168" s="1">
        <v>45291</v>
      </c>
      <c r="L168">
        <v>2</v>
      </c>
      <c r="M168" t="s">
        <v>25</v>
      </c>
      <c r="N168" t="s">
        <v>819</v>
      </c>
      <c r="O168" t="s">
        <v>820</v>
      </c>
      <c r="P168" t="s">
        <v>28</v>
      </c>
      <c r="Q168" t="s">
        <v>29</v>
      </c>
    </row>
    <row r="169" spans="1:17" x14ac:dyDescent="0.3">
      <c r="A169" t="s">
        <v>821</v>
      </c>
      <c r="B169" t="s">
        <v>822</v>
      </c>
      <c r="C169" t="s">
        <v>360</v>
      </c>
      <c r="D169" t="s">
        <v>117</v>
      </c>
      <c r="E169" t="s">
        <v>161</v>
      </c>
      <c r="F169" t="s">
        <v>73</v>
      </c>
      <c r="G169" t="s">
        <v>424</v>
      </c>
      <c r="H169" t="s">
        <v>66</v>
      </c>
      <c r="I169" t="s">
        <v>47</v>
      </c>
      <c r="J169">
        <v>20016.68</v>
      </c>
      <c r="K169" s="1">
        <v>45621</v>
      </c>
      <c r="L169">
        <v>1</v>
      </c>
      <c r="M169" t="s">
        <v>25</v>
      </c>
      <c r="N169" t="s">
        <v>823</v>
      </c>
      <c r="O169" t="s">
        <v>824</v>
      </c>
      <c r="P169" t="s">
        <v>28</v>
      </c>
      <c r="Q169" t="s">
        <v>58</v>
      </c>
    </row>
    <row r="170" spans="1:17" x14ac:dyDescent="0.3">
      <c r="A170" t="s">
        <v>825</v>
      </c>
      <c r="B170" t="s">
        <v>826</v>
      </c>
      <c r="C170" t="s">
        <v>360</v>
      </c>
      <c r="D170" t="s">
        <v>223</v>
      </c>
      <c r="E170" t="s">
        <v>236</v>
      </c>
      <c r="F170" t="s">
        <v>118</v>
      </c>
      <c r="G170" t="s">
        <v>119</v>
      </c>
      <c r="H170" t="s">
        <v>46</v>
      </c>
      <c r="I170" t="s">
        <v>24</v>
      </c>
      <c r="J170">
        <v>41749.06</v>
      </c>
      <c r="K170" s="1">
        <v>44835</v>
      </c>
      <c r="L170">
        <v>3</v>
      </c>
      <c r="M170" t="s">
        <v>25</v>
      </c>
      <c r="N170" t="s">
        <v>827</v>
      </c>
      <c r="O170" t="s">
        <v>828</v>
      </c>
      <c r="P170" t="s">
        <v>28</v>
      </c>
      <c r="Q170" t="s">
        <v>58</v>
      </c>
    </row>
    <row r="171" spans="1:17" x14ac:dyDescent="0.3">
      <c r="A171" t="s">
        <v>829</v>
      </c>
      <c r="B171" t="s">
        <v>830</v>
      </c>
      <c r="C171" t="s">
        <v>252</v>
      </c>
      <c r="D171" t="s">
        <v>277</v>
      </c>
      <c r="E171" t="s">
        <v>199</v>
      </c>
      <c r="F171" t="s">
        <v>132</v>
      </c>
      <c r="G171" t="s">
        <v>212</v>
      </c>
      <c r="H171" t="s">
        <v>46</v>
      </c>
      <c r="I171" t="s">
        <v>37</v>
      </c>
      <c r="J171">
        <v>53916.1</v>
      </c>
      <c r="K171" s="1">
        <v>44421</v>
      </c>
      <c r="L171">
        <v>4</v>
      </c>
      <c r="M171" t="s">
        <v>25</v>
      </c>
      <c r="N171" t="s">
        <v>831</v>
      </c>
      <c r="O171" t="s">
        <v>832</v>
      </c>
      <c r="P171" t="s">
        <v>28</v>
      </c>
      <c r="Q171" t="s">
        <v>29</v>
      </c>
    </row>
    <row r="172" spans="1:17" x14ac:dyDescent="0.3">
      <c r="A172" t="s">
        <v>833</v>
      </c>
      <c r="B172" t="s">
        <v>834</v>
      </c>
      <c r="C172" t="s">
        <v>491</v>
      </c>
      <c r="D172" t="s">
        <v>327</v>
      </c>
      <c r="E172" t="s">
        <v>193</v>
      </c>
      <c r="F172" t="s">
        <v>224</v>
      </c>
      <c r="G172" t="s">
        <v>313</v>
      </c>
      <c r="H172" t="s">
        <v>66</v>
      </c>
      <c r="I172" t="s">
        <v>47</v>
      </c>
      <c r="J172">
        <v>53115.27</v>
      </c>
      <c r="K172" s="1">
        <v>45286</v>
      </c>
      <c r="L172">
        <v>2</v>
      </c>
      <c r="M172" t="s">
        <v>25</v>
      </c>
      <c r="N172" t="s">
        <v>835</v>
      </c>
      <c r="O172" t="s">
        <v>836</v>
      </c>
      <c r="P172" t="s">
        <v>28</v>
      </c>
      <c r="Q172" t="s">
        <v>29</v>
      </c>
    </row>
    <row r="173" spans="1:17" x14ac:dyDescent="0.3">
      <c r="A173" t="s">
        <v>837</v>
      </c>
      <c r="B173" t="s">
        <v>838</v>
      </c>
      <c r="C173" t="s">
        <v>130</v>
      </c>
      <c r="D173" t="s">
        <v>217</v>
      </c>
      <c r="E173" t="s">
        <v>44</v>
      </c>
      <c r="F173" t="s">
        <v>95</v>
      </c>
      <c r="G173" t="s">
        <v>162</v>
      </c>
      <c r="H173" t="s">
        <v>46</v>
      </c>
      <c r="I173" t="s">
        <v>97</v>
      </c>
      <c r="J173">
        <v>37228.46</v>
      </c>
      <c r="K173" s="1">
        <v>43750</v>
      </c>
      <c r="L173">
        <v>6</v>
      </c>
      <c r="M173" t="s">
        <v>25</v>
      </c>
      <c r="N173" t="s">
        <v>839</v>
      </c>
      <c r="O173" t="s">
        <v>840</v>
      </c>
      <c r="P173" t="s">
        <v>28</v>
      </c>
      <c r="Q173" t="s">
        <v>29</v>
      </c>
    </row>
    <row r="174" spans="1:17" x14ac:dyDescent="0.3">
      <c r="A174" t="s">
        <v>841</v>
      </c>
      <c r="B174" t="s">
        <v>842</v>
      </c>
      <c r="C174" t="s">
        <v>192</v>
      </c>
      <c r="D174" t="s">
        <v>145</v>
      </c>
      <c r="E174" t="s">
        <v>110</v>
      </c>
      <c r="F174" t="s">
        <v>95</v>
      </c>
      <c r="G174" t="s">
        <v>111</v>
      </c>
      <c r="H174" t="s">
        <v>66</v>
      </c>
      <c r="I174" t="s">
        <v>37</v>
      </c>
      <c r="J174">
        <v>39164.86</v>
      </c>
      <c r="K174" s="1">
        <v>44660</v>
      </c>
      <c r="L174">
        <v>4</v>
      </c>
      <c r="M174" t="s">
        <v>152</v>
      </c>
      <c r="N174" t="s">
        <v>843</v>
      </c>
      <c r="O174" t="s">
        <v>844</v>
      </c>
      <c r="P174" t="s">
        <v>28</v>
      </c>
      <c r="Q174" t="s">
        <v>29</v>
      </c>
    </row>
    <row r="175" spans="1:17" x14ac:dyDescent="0.3">
      <c r="A175" t="s">
        <v>845</v>
      </c>
      <c r="B175" t="s">
        <v>846</v>
      </c>
      <c r="C175" t="s">
        <v>210</v>
      </c>
      <c r="D175" t="s">
        <v>266</v>
      </c>
      <c r="E175" t="s">
        <v>266</v>
      </c>
      <c r="F175" t="s">
        <v>35</v>
      </c>
      <c r="G175" t="s">
        <v>125</v>
      </c>
      <c r="H175" t="s">
        <v>55</v>
      </c>
      <c r="I175" t="s">
        <v>47</v>
      </c>
      <c r="J175">
        <v>22972.26</v>
      </c>
      <c r="K175" s="1">
        <v>44105</v>
      </c>
      <c r="L175">
        <v>5</v>
      </c>
      <c r="M175" t="s">
        <v>25</v>
      </c>
      <c r="N175" t="s">
        <v>847</v>
      </c>
      <c r="O175" t="s">
        <v>848</v>
      </c>
      <c r="P175" t="s">
        <v>28</v>
      </c>
      <c r="Q175" t="s">
        <v>58</v>
      </c>
    </row>
    <row r="176" spans="1:17" x14ac:dyDescent="0.3">
      <c r="A176" t="s">
        <v>849</v>
      </c>
      <c r="B176" t="s">
        <v>850</v>
      </c>
      <c r="C176" t="s">
        <v>79</v>
      </c>
      <c r="D176" t="s">
        <v>86</v>
      </c>
      <c r="E176" t="s">
        <v>486</v>
      </c>
      <c r="F176" t="s">
        <v>73</v>
      </c>
      <c r="G176" t="s">
        <v>87</v>
      </c>
      <c r="H176" t="s">
        <v>23</v>
      </c>
      <c r="I176" t="s">
        <v>24</v>
      </c>
      <c r="J176">
        <v>29511.55</v>
      </c>
      <c r="K176" s="1">
        <v>44591</v>
      </c>
      <c r="L176">
        <v>4</v>
      </c>
      <c r="M176" t="s">
        <v>25</v>
      </c>
      <c r="N176" t="s">
        <v>851</v>
      </c>
      <c r="O176" t="s">
        <v>852</v>
      </c>
      <c r="P176" t="s">
        <v>28</v>
      </c>
      <c r="Q176" t="s">
        <v>29</v>
      </c>
    </row>
    <row r="177" spans="1:17" x14ac:dyDescent="0.3">
      <c r="A177" t="s">
        <v>853</v>
      </c>
      <c r="B177" t="s">
        <v>854</v>
      </c>
      <c r="C177" t="s">
        <v>265</v>
      </c>
      <c r="D177" t="s">
        <v>486</v>
      </c>
      <c r="E177" t="s">
        <v>124</v>
      </c>
      <c r="F177" t="s">
        <v>95</v>
      </c>
      <c r="G177" t="s">
        <v>162</v>
      </c>
      <c r="H177" t="s">
        <v>55</v>
      </c>
      <c r="I177" t="s">
        <v>24</v>
      </c>
      <c r="J177">
        <v>26951.71</v>
      </c>
      <c r="K177" s="1">
        <v>44627</v>
      </c>
      <c r="L177">
        <v>4</v>
      </c>
      <c r="M177" t="s">
        <v>25</v>
      </c>
      <c r="N177" t="s">
        <v>855</v>
      </c>
      <c r="O177" t="s">
        <v>856</v>
      </c>
      <c r="P177" t="s">
        <v>28</v>
      </c>
      <c r="Q177" t="s">
        <v>58</v>
      </c>
    </row>
    <row r="178" spans="1:17" x14ac:dyDescent="0.3">
      <c r="A178" t="s">
        <v>857</v>
      </c>
      <c r="B178" t="s">
        <v>858</v>
      </c>
      <c r="C178" t="s">
        <v>144</v>
      </c>
      <c r="D178" t="s">
        <v>62</v>
      </c>
      <c r="E178" t="s">
        <v>80</v>
      </c>
      <c r="F178" t="s">
        <v>22</v>
      </c>
      <c r="G178" t="s">
        <v>22</v>
      </c>
      <c r="H178" t="s">
        <v>23</v>
      </c>
      <c r="I178" t="s">
        <v>47</v>
      </c>
      <c r="J178">
        <v>27956.09</v>
      </c>
      <c r="K178" s="1">
        <v>44790</v>
      </c>
      <c r="L178">
        <v>3</v>
      </c>
      <c r="M178" t="s">
        <v>25</v>
      </c>
      <c r="N178" t="s">
        <v>859</v>
      </c>
      <c r="O178" t="s">
        <v>860</v>
      </c>
      <c r="P178" t="s">
        <v>28</v>
      </c>
      <c r="Q178" t="s">
        <v>29</v>
      </c>
    </row>
    <row r="179" spans="1:17" x14ac:dyDescent="0.3">
      <c r="A179" t="s">
        <v>861</v>
      </c>
      <c r="B179" t="s">
        <v>862</v>
      </c>
      <c r="C179" t="s">
        <v>332</v>
      </c>
      <c r="D179" t="s">
        <v>217</v>
      </c>
      <c r="E179" t="s">
        <v>110</v>
      </c>
      <c r="F179" t="s">
        <v>118</v>
      </c>
      <c r="G179" t="s">
        <v>169</v>
      </c>
      <c r="H179" t="s">
        <v>23</v>
      </c>
      <c r="I179" t="s">
        <v>37</v>
      </c>
      <c r="J179">
        <v>29179.37</v>
      </c>
      <c r="K179" s="1">
        <v>44562</v>
      </c>
      <c r="L179">
        <v>4</v>
      </c>
      <c r="M179" t="s">
        <v>25</v>
      </c>
      <c r="N179" t="s">
        <v>863</v>
      </c>
      <c r="O179" t="s">
        <v>864</v>
      </c>
      <c r="P179" t="s">
        <v>28</v>
      </c>
      <c r="Q179" t="s">
        <v>29</v>
      </c>
    </row>
    <row r="180" spans="1:17" x14ac:dyDescent="0.3">
      <c r="A180" t="s">
        <v>865</v>
      </c>
      <c r="B180" t="s">
        <v>866</v>
      </c>
      <c r="C180" t="s">
        <v>247</v>
      </c>
      <c r="D180" t="s">
        <v>211</v>
      </c>
      <c r="E180" t="s">
        <v>21</v>
      </c>
      <c r="F180" t="s">
        <v>35</v>
      </c>
      <c r="G180" t="s">
        <v>45</v>
      </c>
      <c r="H180" t="s">
        <v>46</v>
      </c>
      <c r="I180" t="s">
        <v>47</v>
      </c>
      <c r="J180">
        <v>23547.38</v>
      </c>
      <c r="K180" s="1">
        <v>44061</v>
      </c>
      <c r="L180">
        <v>5</v>
      </c>
      <c r="M180" t="s">
        <v>25</v>
      </c>
      <c r="N180" t="s">
        <v>867</v>
      </c>
      <c r="O180" t="s">
        <v>868</v>
      </c>
      <c r="P180" t="s">
        <v>28</v>
      </c>
      <c r="Q180" t="s">
        <v>29</v>
      </c>
    </row>
    <row r="181" spans="1:17" x14ac:dyDescent="0.3">
      <c r="A181" t="s">
        <v>869</v>
      </c>
      <c r="B181" t="s">
        <v>870</v>
      </c>
      <c r="C181" t="s">
        <v>642</v>
      </c>
      <c r="D181" t="s">
        <v>327</v>
      </c>
      <c r="E181" t="s">
        <v>175</v>
      </c>
      <c r="F181" t="s">
        <v>22</v>
      </c>
      <c r="G181" t="s">
        <v>181</v>
      </c>
      <c r="H181" t="s">
        <v>23</v>
      </c>
      <c r="I181" t="s">
        <v>37</v>
      </c>
      <c r="J181">
        <v>51541.48</v>
      </c>
      <c r="K181" s="1">
        <v>44253</v>
      </c>
      <c r="L181">
        <v>5</v>
      </c>
      <c r="M181" t="s">
        <v>25</v>
      </c>
      <c r="N181" t="s">
        <v>871</v>
      </c>
      <c r="O181" t="s">
        <v>872</v>
      </c>
      <c r="P181" t="s">
        <v>28</v>
      </c>
      <c r="Q181" t="s">
        <v>29</v>
      </c>
    </row>
    <row r="182" spans="1:17" x14ac:dyDescent="0.3">
      <c r="A182" t="s">
        <v>873</v>
      </c>
      <c r="B182" t="s">
        <v>874</v>
      </c>
      <c r="C182" t="s">
        <v>346</v>
      </c>
      <c r="D182" t="s">
        <v>230</v>
      </c>
      <c r="E182" t="s">
        <v>200</v>
      </c>
      <c r="F182" t="s">
        <v>132</v>
      </c>
      <c r="G182" t="s">
        <v>212</v>
      </c>
      <c r="H182" t="s">
        <v>46</v>
      </c>
      <c r="I182" t="s">
        <v>47</v>
      </c>
      <c r="J182">
        <v>45535.77</v>
      </c>
      <c r="K182" s="1">
        <v>45000</v>
      </c>
      <c r="L182">
        <v>3</v>
      </c>
      <c r="M182" t="s">
        <v>25</v>
      </c>
      <c r="N182" t="s">
        <v>875</v>
      </c>
      <c r="O182" t="s">
        <v>876</v>
      </c>
      <c r="P182" t="s">
        <v>28</v>
      </c>
      <c r="Q182" t="s">
        <v>58</v>
      </c>
    </row>
    <row r="183" spans="1:17" x14ac:dyDescent="0.3">
      <c r="A183" t="s">
        <v>877</v>
      </c>
      <c r="B183" t="s">
        <v>878</v>
      </c>
      <c r="C183" t="s">
        <v>521</v>
      </c>
      <c r="D183" t="s">
        <v>361</v>
      </c>
      <c r="E183" t="s">
        <v>150</v>
      </c>
      <c r="F183" t="s">
        <v>95</v>
      </c>
      <c r="G183" t="s">
        <v>162</v>
      </c>
      <c r="H183" t="s">
        <v>46</v>
      </c>
      <c r="I183" t="s">
        <v>37</v>
      </c>
      <c r="J183">
        <v>20000.29</v>
      </c>
      <c r="K183" s="1">
        <v>43879</v>
      </c>
      <c r="L183">
        <v>6</v>
      </c>
      <c r="M183" t="s">
        <v>25</v>
      </c>
      <c r="N183" t="s">
        <v>879</v>
      </c>
      <c r="O183" t="s">
        <v>880</v>
      </c>
      <c r="P183" t="s">
        <v>28</v>
      </c>
      <c r="Q183" t="s">
        <v>58</v>
      </c>
    </row>
    <row r="184" spans="1:17" x14ac:dyDescent="0.3">
      <c r="A184" t="s">
        <v>881</v>
      </c>
      <c r="B184" t="s">
        <v>882</v>
      </c>
      <c r="C184" t="s">
        <v>299</v>
      </c>
      <c r="D184" t="s">
        <v>151</v>
      </c>
      <c r="E184" t="s">
        <v>277</v>
      </c>
      <c r="F184" t="s">
        <v>73</v>
      </c>
      <c r="G184" t="s">
        <v>424</v>
      </c>
      <c r="H184" t="s">
        <v>46</v>
      </c>
      <c r="I184" t="s">
        <v>47</v>
      </c>
      <c r="J184">
        <v>46164.15</v>
      </c>
      <c r="K184" s="1">
        <v>45283</v>
      </c>
      <c r="L184">
        <v>2</v>
      </c>
      <c r="M184" t="s">
        <v>25</v>
      </c>
      <c r="N184" t="s">
        <v>883</v>
      </c>
      <c r="O184" t="s">
        <v>884</v>
      </c>
      <c r="P184" t="s">
        <v>28</v>
      </c>
      <c r="Q184" t="s">
        <v>58</v>
      </c>
    </row>
    <row r="185" spans="1:17" x14ac:dyDescent="0.3">
      <c r="A185" t="s">
        <v>885</v>
      </c>
      <c r="B185" t="s">
        <v>886</v>
      </c>
      <c r="C185" t="s">
        <v>887</v>
      </c>
      <c r="D185" t="s">
        <v>145</v>
      </c>
      <c r="E185" t="s">
        <v>168</v>
      </c>
      <c r="F185" t="s">
        <v>64</v>
      </c>
      <c r="G185" t="s">
        <v>65</v>
      </c>
      <c r="H185" t="s">
        <v>46</v>
      </c>
      <c r="I185" t="s">
        <v>47</v>
      </c>
      <c r="J185">
        <v>18662.900000000001</v>
      </c>
      <c r="K185" s="1">
        <v>45620</v>
      </c>
      <c r="L185">
        <v>1</v>
      </c>
      <c r="M185" t="s">
        <v>25</v>
      </c>
      <c r="N185" t="s">
        <v>888</v>
      </c>
      <c r="O185" t="s">
        <v>889</v>
      </c>
      <c r="P185" t="s">
        <v>28</v>
      </c>
      <c r="Q185" t="s">
        <v>58</v>
      </c>
    </row>
    <row r="186" spans="1:17" x14ac:dyDescent="0.3">
      <c r="A186" t="s">
        <v>890</v>
      </c>
      <c r="B186" t="s">
        <v>891</v>
      </c>
      <c r="C186" t="s">
        <v>887</v>
      </c>
      <c r="D186" t="s">
        <v>266</v>
      </c>
      <c r="E186" t="s">
        <v>341</v>
      </c>
      <c r="F186" t="s">
        <v>118</v>
      </c>
      <c r="G186" t="s">
        <v>119</v>
      </c>
      <c r="H186" t="s">
        <v>46</v>
      </c>
      <c r="I186" t="s">
        <v>37</v>
      </c>
      <c r="J186">
        <v>50855.040000000001</v>
      </c>
      <c r="K186" s="1">
        <v>45354</v>
      </c>
      <c r="L186">
        <v>2</v>
      </c>
      <c r="M186" t="s">
        <v>25</v>
      </c>
      <c r="N186" t="s">
        <v>892</v>
      </c>
      <c r="O186" t="s">
        <v>893</v>
      </c>
      <c r="P186" t="s">
        <v>28</v>
      </c>
      <c r="Q186" t="s">
        <v>58</v>
      </c>
    </row>
    <row r="187" spans="1:17" x14ac:dyDescent="0.3">
      <c r="A187" t="s">
        <v>894</v>
      </c>
      <c r="B187" t="s">
        <v>895</v>
      </c>
      <c r="C187" t="s">
        <v>322</v>
      </c>
      <c r="D187" t="s">
        <v>193</v>
      </c>
      <c r="E187" t="s">
        <v>93</v>
      </c>
      <c r="F187" t="s">
        <v>132</v>
      </c>
      <c r="G187" t="s">
        <v>896</v>
      </c>
      <c r="H187" t="s">
        <v>55</v>
      </c>
      <c r="I187" t="s">
        <v>37</v>
      </c>
      <c r="J187">
        <v>50432.13</v>
      </c>
      <c r="K187" s="1">
        <v>45105</v>
      </c>
      <c r="L187">
        <v>2</v>
      </c>
      <c r="M187" t="s">
        <v>25</v>
      </c>
      <c r="N187" t="s">
        <v>897</v>
      </c>
      <c r="O187" t="s">
        <v>898</v>
      </c>
      <c r="P187" t="s">
        <v>28</v>
      </c>
      <c r="Q187" t="s">
        <v>29</v>
      </c>
    </row>
    <row r="188" spans="1:17" x14ac:dyDescent="0.3">
      <c r="A188" t="s">
        <v>899</v>
      </c>
      <c r="B188" t="s">
        <v>900</v>
      </c>
      <c r="C188" t="s">
        <v>92</v>
      </c>
      <c r="D188" t="s">
        <v>94</v>
      </c>
      <c r="E188" t="s">
        <v>236</v>
      </c>
      <c r="F188" t="s">
        <v>224</v>
      </c>
      <c r="G188" t="s">
        <v>313</v>
      </c>
      <c r="H188" t="s">
        <v>55</v>
      </c>
      <c r="I188" t="s">
        <v>97</v>
      </c>
      <c r="J188">
        <v>33572.239999999998</v>
      </c>
      <c r="K188" s="1">
        <v>45422</v>
      </c>
      <c r="L188">
        <v>1</v>
      </c>
      <c r="M188" t="s">
        <v>25</v>
      </c>
      <c r="N188" t="s">
        <v>901</v>
      </c>
      <c r="O188" t="s">
        <v>902</v>
      </c>
      <c r="P188" t="s">
        <v>28</v>
      </c>
      <c r="Q188" t="s">
        <v>29</v>
      </c>
    </row>
    <row r="189" spans="1:17" x14ac:dyDescent="0.3">
      <c r="A189" t="s">
        <v>903</v>
      </c>
      <c r="B189" t="s">
        <v>904</v>
      </c>
      <c r="C189" t="s">
        <v>447</v>
      </c>
      <c r="D189" t="s">
        <v>94</v>
      </c>
      <c r="E189" t="s">
        <v>86</v>
      </c>
      <c r="F189" t="s">
        <v>22</v>
      </c>
      <c r="G189" t="s">
        <v>181</v>
      </c>
      <c r="H189" t="s">
        <v>66</v>
      </c>
      <c r="I189" t="s">
        <v>97</v>
      </c>
      <c r="J189">
        <v>23933.82</v>
      </c>
      <c r="K189" s="1">
        <v>44506</v>
      </c>
      <c r="L189">
        <v>4</v>
      </c>
      <c r="M189" t="s">
        <v>25</v>
      </c>
      <c r="N189" t="s">
        <v>905</v>
      </c>
      <c r="O189" t="s">
        <v>906</v>
      </c>
      <c r="P189" t="s">
        <v>28</v>
      </c>
      <c r="Q189" t="s">
        <v>58</v>
      </c>
    </row>
    <row r="190" spans="1:17" x14ac:dyDescent="0.3">
      <c r="A190" t="s">
        <v>907</v>
      </c>
      <c r="B190" t="s">
        <v>908</v>
      </c>
      <c r="C190" t="s">
        <v>447</v>
      </c>
      <c r="D190" t="s">
        <v>193</v>
      </c>
      <c r="E190" t="s">
        <v>103</v>
      </c>
      <c r="F190" t="s">
        <v>132</v>
      </c>
      <c r="G190" t="s">
        <v>896</v>
      </c>
      <c r="H190" t="s">
        <v>23</v>
      </c>
      <c r="I190" t="s">
        <v>37</v>
      </c>
      <c r="J190">
        <v>54580.639999999999</v>
      </c>
      <c r="K190" s="1">
        <v>45022</v>
      </c>
      <c r="L190">
        <v>3</v>
      </c>
      <c r="M190" t="s">
        <v>25</v>
      </c>
      <c r="N190" t="s">
        <v>909</v>
      </c>
      <c r="O190" t="s">
        <v>910</v>
      </c>
      <c r="P190" t="s">
        <v>28</v>
      </c>
      <c r="Q190" t="s">
        <v>29</v>
      </c>
    </row>
    <row r="191" spans="1:17" x14ac:dyDescent="0.3">
      <c r="A191" t="s">
        <v>911</v>
      </c>
      <c r="B191" t="s">
        <v>912</v>
      </c>
      <c r="C191" t="s">
        <v>102</v>
      </c>
      <c r="D191" t="s">
        <v>139</v>
      </c>
      <c r="E191" t="s">
        <v>54</v>
      </c>
      <c r="F191" t="s">
        <v>224</v>
      </c>
      <c r="G191" t="s">
        <v>225</v>
      </c>
      <c r="H191" t="s">
        <v>46</v>
      </c>
      <c r="I191" t="s">
        <v>37</v>
      </c>
      <c r="J191">
        <v>53338.3</v>
      </c>
      <c r="K191" s="1">
        <v>45079</v>
      </c>
      <c r="L191">
        <v>2</v>
      </c>
      <c r="M191" t="s">
        <v>25</v>
      </c>
      <c r="N191" t="s">
        <v>913</v>
      </c>
      <c r="O191" t="s">
        <v>914</v>
      </c>
      <c r="P191" t="s">
        <v>28</v>
      </c>
      <c r="Q191" t="s">
        <v>58</v>
      </c>
    </row>
    <row r="192" spans="1:17" x14ac:dyDescent="0.3">
      <c r="A192" t="s">
        <v>915</v>
      </c>
      <c r="B192" t="s">
        <v>916</v>
      </c>
      <c r="C192" t="s">
        <v>456</v>
      </c>
      <c r="D192" t="s">
        <v>236</v>
      </c>
      <c r="E192" t="s">
        <v>187</v>
      </c>
      <c r="F192" t="s">
        <v>224</v>
      </c>
      <c r="G192" t="s">
        <v>313</v>
      </c>
      <c r="H192" t="s">
        <v>23</v>
      </c>
      <c r="I192" t="s">
        <v>24</v>
      </c>
      <c r="J192">
        <v>54318.06</v>
      </c>
      <c r="K192" s="1">
        <v>43899</v>
      </c>
      <c r="L192">
        <v>6</v>
      </c>
      <c r="M192" t="s">
        <v>25</v>
      </c>
      <c r="N192" t="s">
        <v>917</v>
      </c>
      <c r="O192" t="s">
        <v>918</v>
      </c>
      <c r="P192" t="s">
        <v>28</v>
      </c>
      <c r="Q192" t="s">
        <v>58</v>
      </c>
    </row>
    <row r="193" spans="1:17" x14ac:dyDescent="0.3">
      <c r="A193" t="s">
        <v>919</v>
      </c>
      <c r="B193" t="s">
        <v>920</v>
      </c>
      <c r="C193" t="s">
        <v>402</v>
      </c>
      <c r="D193" t="s">
        <v>187</v>
      </c>
      <c r="E193" t="s">
        <v>34</v>
      </c>
      <c r="F193" t="s">
        <v>73</v>
      </c>
      <c r="G193" t="s">
        <v>74</v>
      </c>
      <c r="H193" t="s">
        <v>46</v>
      </c>
      <c r="I193" t="s">
        <v>97</v>
      </c>
      <c r="J193">
        <v>18457.330000000002</v>
      </c>
      <c r="K193" s="1">
        <v>43850</v>
      </c>
      <c r="L193">
        <v>6</v>
      </c>
      <c r="M193" t="s">
        <v>25</v>
      </c>
      <c r="N193" t="s">
        <v>921</v>
      </c>
      <c r="O193" t="s">
        <v>922</v>
      </c>
      <c r="P193" t="s">
        <v>28</v>
      </c>
      <c r="Q193" t="s">
        <v>58</v>
      </c>
    </row>
    <row r="194" spans="1:17" x14ac:dyDescent="0.3">
      <c r="A194" t="s">
        <v>923</v>
      </c>
      <c r="B194" t="s">
        <v>924</v>
      </c>
      <c r="C194" t="s">
        <v>419</v>
      </c>
      <c r="D194" t="s">
        <v>44</v>
      </c>
      <c r="E194" t="s">
        <v>253</v>
      </c>
      <c r="F194" t="s">
        <v>73</v>
      </c>
      <c r="G194" t="s">
        <v>74</v>
      </c>
      <c r="H194" t="s">
        <v>23</v>
      </c>
      <c r="I194" t="s">
        <v>37</v>
      </c>
      <c r="J194">
        <v>49519.23</v>
      </c>
      <c r="K194" s="1">
        <v>43848</v>
      </c>
      <c r="L194">
        <v>6</v>
      </c>
      <c r="M194" t="s">
        <v>25</v>
      </c>
      <c r="N194" t="s">
        <v>925</v>
      </c>
      <c r="O194" t="s">
        <v>926</v>
      </c>
      <c r="P194" t="s">
        <v>28</v>
      </c>
      <c r="Q194" t="s">
        <v>58</v>
      </c>
    </row>
    <row r="195" spans="1:17" x14ac:dyDescent="0.3">
      <c r="A195" t="s">
        <v>927</v>
      </c>
      <c r="B195" t="s">
        <v>928</v>
      </c>
      <c r="C195" t="s">
        <v>130</v>
      </c>
      <c r="D195" t="s">
        <v>124</v>
      </c>
      <c r="E195" t="s">
        <v>34</v>
      </c>
      <c r="F195" t="s">
        <v>118</v>
      </c>
      <c r="G195" t="s">
        <v>218</v>
      </c>
      <c r="H195" t="s">
        <v>66</v>
      </c>
      <c r="I195" t="s">
        <v>37</v>
      </c>
      <c r="J195">
        <v>29694.28</v>
      </c>
      <c r="K195" s="1">
        <v>44610</v>
      </c>
      <c r="L195">
        <v>4</v>
      </c>
      <c r="M195" t="s">
        <v>25</v>
      </c>
      <c r="N195" t="s">
        <v>929</v>
      </c>
      <c r="O195" t="s">
        <v>930</v>
      </c>
      <c r="P195" t="s">
        <v>28</v>
      </c>
      <c r="Q195" t="s">
        <v>29</v>
      </c>
    </row>
    <row r="196" spans="1:17" x14ac:dyDescent="0.3">
      <c r="A196" t="s">
        <v>931</v>
      </c>
      <c r="B196" t="s">
        <v>932</v>
      </c>
      <c r="C196" t="s">
        <v>210</v>
      </c>
      <c r="D196" t="s">
        <v>486</v>
      </c>
      <c r="E196" t="s">
        <v>277</v>
      </c>
      <c r="F196" t="s">
        <v>22</v>
      </c>
      <c r="G196" t="s">
        <v>181</v>
      </c>
      <c r="H196" t="s">
        <v>46</v>
      </c>
      <c r="I196" t="s">
        <v>37</v>
      </c>
      <c r="J196">
        <v>44516.35</v>
      </c>
      <c r="K196" s="1">
        <v>44884</v>
      </c>
      <c r="L196">
        <v>3</v>
      </c>
      <c r="M196" t="s">
        <v>25</v>
      </c>
      <c r="N196" t="s">
        <v>933</v>
      </c>
      <c r="O196" t="s">
        <v>934</v>
      </c>
      <c r="P196" t="s">
        <v>28</v>
      </c>
      <c r="Q196" t="s">
        <v>29</v>
      </c>
    </row>
    <row r="197" spans="1:17" x14ac:dyDescent="0.3">
      <c r="A197" t="s">
        <v>935</v>
      </c>
      <c r="B197" t="s">
        <v>936</v>
      </c>
      <c r="C197" t="s">
        <v>887</v>
      </c>
      <c r="D197" t="s">
        <v>93</v>
      </c>
      <c r="E197" t="s">
        <v>259</v>
      </c>
      <c r="F197" t="s">
        <v>224</v>
      </c>
      <c r="G197" t="s">
        <v>347</v>
      </c>
      <c r="H197" t="s">
        <v>66</v>
      </c>
      <c r="I197" t="s">
        <v>24</v>
      </c>
      <c r="J197">
        <v>27408.7</v>
      </c>
      <c r="K197" s="1">
        <v>45227</v>
      </c>
      <c r="L197">
        <v>2</v>
      </c>
      <c r="M197" t="s">
        <v>25</v>
      </c>
      <c r="N197" t="s">
        <v>937</v>
      </c>
      <c r="O197" t="s">
        <v>938</v>
      </c>
      <c r="P197" t="s">
        <v>28</v>
      </c>
      <c r="Q197" t="s">
        <v>58</v>
      </c>
    </row>
    <row r="198" spans="1:17" x14ac:dyDescent="0.3">
      <c r="A198" t="s">
        <v>939</v>
      </c>
      <c r="B198" t="s">
        <v>940</v>
      </c>
      <c r="C198" t="s">
        <v>116</v>
      </c>
      <c r="D198" t="s">
        <v>54</v>
      </c>
      <c r="E198" t="s">
        <v>175</v>
      </c>
      <c r="F198" t="s">
        <v>224</v>
      </c>
      <c r="G198" t="s">
        <v>225</v>
      </c>
      <c r="H198" t="s">
        <v>55</v>
      </c>
      <c r="I198" t="s">
        <v>24</v>
      </c>
      <c r="J198">
        <v>38469.370000000003</v>
      </c>
      <c r="K198" s="1">
        <v>44742</v>
      </c>
      <c r="L198">
        <v>3</v>
      </c>
      <c r="M198" t="s">
        <v>25</v>
      </c>
      <c r="N198" t="s">
        <v>941</v>
      </c>
      <c r="O198" t="s">
        <v>942</v>
      </c>
      <c r="P198" t="s">
        <v>28</v>
      </c>
      <c r="Q198" t="s">
        <v>29</v>
      </c>
    </row>
    <row r="199" spans="1:17" x14ac:dyDescent="0.3">
      <c r="A199" t="s">
        <v>943</v>
      </c>
      <c r="B199" t="s">
        <v>944</v>
      </c>
      <c r="C199" t="s">
        <v>32</v>
      </c>
      <c r="D199" t="s">
        <v>312</v>
      </c>
      <c r="E199" t="s">
        <v>242</v>
      </c>
      <c r="F199" t="s">
        <v>22</v>
      </c>
      <c r="G199" t="s">
        <v>181</v>
      </c>
      <c r="H199" t="s">
        <v>66</v>
      </c>
      <c r="I199" t="s">
        <v>97</v>
      </c>
      <c r="J199">
        <v>53908.19</v>
      </c>
      <c r="K199" s="1">
        <v>44701</v>
      </c>
      <c r="L199">
        <v>3</v>
      </c>
      <c r="M199" t="s">
        <v>25</v>
      </c>
      <c r="N199" t="s">
        <v>945</v>
      </c>
      <c r="O199" t="s">
        <v>946</v>
      </c>
      <c r="P199" t="s">
        <v>28</v>
      </c>
      <c r="Q199" t="s">
        <v>29</v>
      </c>
    </row>
    <row r="200" spans="1:17" x14ac:dyDescent="0.3">
      <c r="A200" t="s">
        <v>947</v>
      </c>
      <c r="B200" t="s">
        <v>948</v>
      </c>
      <c r="C200" t="s">
        <v>346</v>
      </c>
      <c r="D200" t="s">
        <v>110</v>
      </c>
      <c r="E200" t="s">
        <v>150</v>
      </c>
      <c r="F200" t="s">
        <v>224</v>
      </c>
      <c r="G200" t="s">
        <v>347</v>
      </c>
      <c r="H200" t="s">
        <v>23</v>
      </c>
      <c r="I200" t="s">
        <v>97</v>
      </c>
      <c r="J200">
        <v>44283.05</v>
      </c>
      <c r="K200" s="1">
        <v>44070</v>
      </c>
      <c r="L200">
        <v>5</v>
      </c>
      <c r="M200" t="s">
        <v>25</v>
      </c>
      <c r="N200" t="s">
        <v>949</v>
      </c>
      <c r="O200" t="s">
        <v>950</v>
      </c>
      <c r="P200" t="s">
        <v>28</v>
      </c>
      <c r="Q200" t="s">
        <v>29</v>
      </c>
    </row>
    <row r="201" spans="1:17" x14ac:dyDescent="0.3">
      <c r="A201" t="s">
        <v>951</v>
      </c>
      <c r="B201" t="s">
        <v>952</v>
      </c>
      <c r="C201" t="s">
        <v>108</v>
      </c>
      <c r="D201" t="s">
        <v>277</v>
      </c>
      <c r="E201" t="s">
        <v>168</v>
      </c>
      <c r="F201" t="s">
        <v>35</v>
      </c>
      <c r="G201" t="s">
        <v>36</v>
      </c>
      <c r="H201" t="s">
        <v>46</v>
      </c>
      <c r="I201" t="s">
        <v>97</v>
      </c>
      <c r="J201">
        <v>23417.85</v>
      </c>
      <c r="K201" s="1">
        <v>45501</v>
      </c>
      <c r="L201">
        <v>1</v>
      </c>
      <c r="M201" t="s">
        <v>25</v>
      </c>
      <c r="N201" t="s">
        <v>953</v>
      </c>
      <c r="O201" t="s">
        <v>954</v>
      </c>
      <c r="P201" t="s">
        <v>28</v>
      </c>
      <c r="Q201" t="s">
        <v>58</v>
      </c>
    </row>
    <row r="202" spans="1:17" x14ac:dyDescent="0.3">
      <c r="A202" t="s">
        <v>955</v>
      </c>
      <c r="B202" t="s">
        <v>956</v>
      </c>
      <c r="C202" t="s">
        <v>456</v>
      </c>
      <c r="D202" t="s">
        <v>341</v>
      </c>
      <c r="E202" t="s">
        <v>242</v>
      </c>
      <c r="F202" t="s">
        <v>73</v>
      </c>
      <c r="G202" t="s">
        <v>424</v>
      </c>
      <c r="H202" t="s">
        <v>66</v>
      </c>
      <c r="I202" t="s">
        <v>37</v>
      </c>
      <c r="J202">
        <v>53397.97</v>
      </c>
      <c r="K202" s="1">
        <v>44225</v>
      </c>
      <c r="L202">
        <v>5</v>
      </c>
      <c r="M202" t="s">
        <v>25</v>
      </c>
      <c r="N202" t="s">
        <v>957</v>
      </c>
      <c r="O202" t="s">
        <v>958</v>
      </c>
      <c r="P202" t="s">
        <v>28</v>
      </c>
      <c r="Q202" t="s">
        <v>29</v>
      </c>
    </row>
    <row r="203" spans="1:17" x14ac:dyDescent="0.3">
      <c r="A203" t="s">
        <v>959</v>
      </c>
      <c r="B203" t="s">
        <v>960</v>
      </c>
      <c r="C203" t="s">
        <v>192</v>
      </c>
      <c r="D203" t="s">
        <v>34</v>
      </c>
      <c r="E203" t="s">
        <v>131</v>
      </c>
      <c r="F203" t="s">
        <v>132</v>
      </c>
      <c r="G203" t="s">
        <v>212</v>
      </c>
      <c r="H203" t="s">
        <v>23</v>
      </c>
      <c r="I203" t="s">
        <v>24</v>
      </c>
      <c r="J203">
        <v>31956.33</v>
      </c>
      <c r="K203" s="1">
        <v>44751</v>
      </c>
      <c r="L203">
        <v>3</v>
      </c>
      <c r="M203" t="s">
        <v>25</v>
      </c>
      <c r="N203" t="s">
        <v>961</v>
      </c>
      <c r="O203" t="s">
        <v>962</v>
      </c>
      <c r="P203" t="s">
        <v>28</v>
      </c>
      <c r="Q203" t="s">
        <v>29</v>
      </c>
    </row>
    <row r="204" spans="1:17" x14ac:dyDescent="0.3">
      <c r="A204" t="s">
        <v>963</v>
      </c>
      <c r="B204" t="s">
        <v>964</v>
      </c>
      <c r="C204" t="s">
        <v>447</v>
      </c>
      <c r="D204" t="s">
        <v>151</v>
      </c>
      <c r="E204" t="s">
        <v>253</v>
      </c>
      <c r="F204" t="s">
        <v>35</v>
      </c>
      <c r="G204" t="s">
        <v>125</v>
      </c>
      <c r="H204" t="s">
        <v>46</v>
      </c>
      <c r="I204" t="s">
        <v>24</v>
      </c>
      <c r="J204">
        <v>47009.16</v>
      </c>
      <c r="K204" s="1">
        <v>44978</v>
      </c>
      <c r="L204">
        <v>3</v>
      </c>
      <c r="M204" t="s">
        <v>25</v>
      </c>
      <c r="N204" t="s">
        <v>965</v>
      </c>
      <c r="O204" t="s">
        <v>966</v>
      </c>
      <c r="P204" t="s">
        <v>28</v>
      </c>
      <c r="Q204" t="s">
        <v>29</v>
      </c>
    </row>
    <row r="205" spans="1:17" x14ac:dyDescent="0.3">
      <c r="A205" t="s">
        <v>967</v>
      </c>
      <c r="B205" t="s">
        <v>968</v>
      </c>
      <c r="C205" t="s">
        <v>210</v>
      </c>
      <c r="D205" t="s">
        <v>486</v>
      </c>
      <c r="E205" t="s">
        <v>341</v>
      </c>
      <c r="F205" t="s">
        <v>22</v>
      </c>
      <c r="G205" t="s">
        <v>260</v>
      </c>
      <c r="H205" t="s">
        <v>66</v>
      </c>
      <c r="I205" t="s">
        <v>24</v>
      </c>
      <c r="J205">
        <v>22244.71</v>
      </c>
      <c r="K205" s="1">
        <v>44920</v>
      </c>
      <c r="L205">
        <v>3</v>
      </c>
      <c r="M205" t="s">
        <v>25</v>
      </c>
      <c r="N205" t="s">
        <v>933</v>
      </c>
      <c r="O205" t="s">
        <v>969</v>
      </c>
      <c r="P205" t="s">
        <v>28</v>
      </c>
      <c r="Q205" t="s">
        <v>58</v>
      </c>
    </row>
    <row r="206" spans="1:17" x14ac:dyDescent="0.3">
      <c r="A206" t="s">
        <v>970</v>
      </c>
      <c r="B206" t="s">
        <v>971</v>
      </c>
      <c r="C206" t="s">
        <v>447</v>
      </c>
      <c r="D206" t="s">
        <v>486</v>
      </c>
      <c r="E206" t="s">
        <v>193</v>
      </c>
      <c r="F206" t="s">
        <v>118</v>
      </c>
      <c r="G206" t="s">
        <v>169</v>
      </c>
      <c r="H206" t="s">
        <v>55</v>
      </c>
      <c r="I206" t="s">
        <v>97</v>
      </c>
      <c r="J206">
        <v>51236.42</v>
      </c>
      <c r="K206" s="1">
        <v>45234</v>
      </c>
      <c r="L206">
        <v>2</v>
      </c>
      <c r="M206" t="s">
        <v>25</v>
      </c>
      <c r="N206" t="s">
        <v>972</v>
      </c>
      <c r="O206" t="s">
        <v>973</v>
      </c>
      <c r="P206" t="s">
        <v>28</v>
      </c>
      <c r="Q206" t="s">
        <v>29</v>
      </c>
    </row>
    <row r="207" spans="1:17" x14ac:dyDescent="0.3">
      <c r="A207" t="s">
        <v>974</v>
      </c>
      <c r="B207" t="s">
        <v>975</v>
      </c>
      <c r="C207" t="s">
        <v>976</v>
      </c>
      <c r="D207" t="s">
        <v>103</v>
      </c>
      <c r="E207" t="s">
        <v>20</v>
      </c>
      <c r="F207" t="s">
        <v>224</v>
      </c>
      <c r="G207" t="s">
        <v>313</v>
      </c>
      <c r="H207" t="s">
        <v>66</v>
      </c>
      <c r="I207" t="s">
        <v>97</v>
      </c>
      <c r="J207">
        <v>19401.79</v>
      </c>
      <c r="K207" s="1">
        <v>45478</v>
      </c>
      <c r="L207">
        <v>1</v>
      </c>
      <c r="M207" t="s">
        <v>152</v>
      </c>
      <c r="N207" t="s">
        <v>977</v>
      </c>
      <c r="O207" t="s">
        <v>978</v>
      </c>
      <c r="P207" t="s">
        <v>28</v>
      </c>
      <c r="Q207" t="s">
        <v>29</v>
      </c>
    </row>
    <row r="208" spans="1:17" x14ac:dyDescent="0.3">
      <c r="A208" t="s">
        <v>979</v>
      </c>
      <c r="B208" t="s">
        <v>980</v>
      </c>
      <c r="C208" t="s">
        <v>42</v>
      </c>
      <c r="D208" t="s">
        <v>150</v>
      </c>
      <c r="E208" t="s">
        <v>361</v>
      </c>
      <c r="F208" t="s">
        <v>73</v>
      </c>
      <c r="G208" t="s">
        <v>87</v>
      </c>
      <c r="H208" t="s">
        <v>55</v>
      </c>
      <c r="I208" t="s">
        <v>24</v>
      </c>
      <c r="J208">
        <v>43932.639999999999</v>
      </c>
      <c r="K208" s="1">
        <v>45480</v>
      </c>
      <c r="L208">
        <v>1</v>
      </c>
      <c r="M208" t="s">
        <v>25</v>
      </c>
      <c r="N208" t="s">
        <v>981</v>
      </c>
      <c r="O208" t="s">
        <v>982</v>
      </c>
      <c r="P208" t="s">
        <v>28</v>
      </c>
      <c r="Q208" t="s">
        <v>29</v>
      </c>
    </row>
    <row r="209" spans="1:17" x14ac:dyDescent="0.3">
      <c r="A209" t="s">
        <v>983</v>
      </c>
      <c r="B209" t="s">
        <v>984</v>
      </c>
      <c r="C209" t="s">
        <v>167</v>
      </c>
      <c r="D209" t="s">
        <v>93</v>
      </c>
      <c r="E209" t="s">
        <v>145</v>
      </c>
      <c r="F209" t="s">
        <v>22</v>
      </c>
      <c r="G209" t="s">
        <v>22</v>
      </c>
      <c r="H209" t="s">
        <v>66</v>
      </c>
      <c r="I209" t="s">
        <v>97</v>
      </c>
      <c r="J209">
        <v>53524.97</v>
      </c>
      <c r="K209" s="1">
        <v>45333</v>
      </c>
      <c r="L209">
        <v>2</v>
      </c>
      <c r="M209" t="s">
        <v>25</v>
      </c>
      <c r="N209" t="s">
        <v>985</v>
      </c>
      <c r="O209" t="s">
        <v>986</v>
      </c>
      <c r="P209" t="s">
        <v>28</v>
      </c>
      <c r="Q209" t="s">
        <v>58</v>
      </c>
    </row>
    <row r="210" spans="1:17" x14ac:dyDescent="0.3">
      <c r="A210" t="s">
        <v>987</v>
      </c>
      <c r="B210" t="s">
        <v>988</v>
      </c>
      <c r="C210" t="s">
        <v>642</v>
      </c>
      <c r="D210" t="s">
        <v>20</v>
      </c>
      <c r="E210" t="s">
        <v>180</v>
      </c>
      <c r="F210" t="s">
        <v>64</v>
      </c>
      <c r="G210" t="s">
        <v>65</v>
      </c>
      <c r="H210" t="s">
        <v>66</v>
      </c>
      <c r="I210" t="s">
        <v>47</v>
      </c>
      <c r="J210">
        <v>23955.31</v>
      </c>
      <c r="K210" s="1">
        <v>45176</v>
      </c>
      <c r="L210">
        <v>2</v>
      </c>
      <c r="M210" t="s">
        <v>25</v>
      </c>
      <c r="N210" t="s">
        <v>989</v>
      </c>
      <c r="O210" t="s">
        <v>990</v>
      </c>
      <c r="P210" t="s">
        <v>28</v>
      </c>
      <c r="Q210" t="s">
        <v>58</v>
      </c>
    </row>
    <row r="211" spans="1:17" x14ac:dyDescent="0.3">
      <c r="A211" t="s">
        <v>991</v>
      </c>
      <c r="B211" t="s">
        <v>992</v>
      </c>
      <c r="C211" t="s">
        <v>174</v>
      </c>
      <c r="D211" t="s">
        <v>161</v>
      </c>
      <c r="E211" t="s">
        <v>168</v>
      </c>
      <c r="F211" t="s">
        <v>118</v>
      </c>
      <c r="G211" t="s">
        <v>169</v>
      </c>
      <c r="H211" t="s">
        <v>46</v>
      </c>
      <c r="I211" t="s">
        <v>47</v>
      </c>
      <c r="J211">
        <v>42837.94</v>
      </c>
      <c r="K211" s="1">
        <v>45148</v>
      </c>
      <c r="L211">
        <v>2</v>
      </c>
      <c r="M211" t="s">
        <v>25</v>
      </c>
      <c r="N211" t="s">
        <v>993</v>
      </c>
      <c r="O211" t="s">
        <v>994</v>
      </c>
      <c r="P211" t="s">
        <v>28</v>
      </c>
      <c r="Q211" t="s">
        <v>29</v>
      </c>
    </row>
    <row r="212" spans="1:17" x14ac:dyDescent="0.3">
      <c r="A212" t="s">
        <v>995</v>
      </c>
      <c r="B212" t="s">
        <v>996</v>
      </c>
      <c r="C212" t="s">
        <v>299</v>
      </c>
      <c r="D212" t="s">
        <v>109</v>
      </c>
      <c r="E212" t="s">
        <v>93</v>
      </c>
      <c r="F212" t="s">
        <v>73</v>
      </c>
      <c r="G212" t="s">
        <v>424</v>
      </c>
      <c r="H212" t="s">
        <v>23</v>
      </c>
      <c r="I212" t="s">
        <v>47</v>
      </c>
      <c r="J212">
        <v>44351.37</v>
      </c>
      <c r="K212" s="1">
        <v>44316</v>
      </c>
      <c r="L212">
        <v>4</v>
      </c>
      <c r="M212" t="s">
        <v>25</v>
      </c>
      <c r="N212" t="s">
        <v>997</v>
      </c>
      <c r="O212" t="s">
        <v>998</v>
      </c>
      <c r="P212" t="s">
        <v>28</v>
      </c>
      <c r="Q212" t="s">
        <v>29</v>
      </c>
    </row>
    <row r="213" spans="1:17" x14ac:dyDescent="0.3">
      <c r="A213" t="s">
        <v>999</v>
      </c>
      <c r="B213" t="s">
        <v>1000</v>
      </c>
      <c r="C213" t="s">
        <v>276</v>
      </c>
      <c r="D213" t="s">
        <v>200</v>
      </c>
      <c r="E213" t="s">
        <v>312</v>
      </c>
      <c r="F213" t="s">
        <v>132</v>
      </c>
      <c r="G213" t="s">
        <v>896</v>
      </c>
      <c r="H213" t="s">
        <v>23</v>
      </c>
      <c r="I213" t="s">
        <v>47</v>
      </c>
      <c r="J213">
        <v>27739.68</v>
      </c>
      <c r="K213" s="1">
        <v>43813</v>
      </c>
      <c r="L213">
        <v>6</v>
      </c>
      <c r="M213" t="s">
        <v>25</v>
      </c>
      <c r="N213" t="s">
        <v>1001</v>
      </c>
      <c r="O213" t="s">
        <v>1002</v>
      </c>
      <c r="P213" t="s">
        <v>28</v>
      </c>
      <c r="Q213" t="s">
        <v>29</v>
      </c>
    </row>
    <row r="214" spans="1:17" x14ac:dyDescent="0.3">
      <c r="A214" t="s">
        <v>1003</v>
      </c>
      <c r="B214" t="s">
        <v>1004</v>
      </c>
      <c r="C214" t="s">
        <v>167</v>
      </c>
      <c r="D214" t="s">
        <v>200</v>
      </c>
      <c r="E214" t="s">
        <v>80</v>
      </c>
      <c r="F214" t="s">
        <v>224</v>
      </c>
      <c r="G214" t="s">
        <v>225</v>
      </c>
      <c r="H214" t="s">
        <v>66</v>
      </c>
      <c r="I214" t="s">
        <v>47</v>
      </c>
      <c r="J214">
        <v>50983.19</v>
      </c>
      <c r="K214" s="1">
        <v>44421</v>
      </c>
      <c r="L214">
        <v>4</v>
      </c>
      <c r="M214" t="s">
        <v>25</v>
      </c>
      <c r="N214" t="s">
        <v>1005</v>
      </c>
      <c r="O214" t="s">
        <v>1006</v>
      </c>
      <c r="P214" t="s">
        <v>28</v>
      </c>
      <c r="Q214" t="s">
        <v>29</v>
      </c>
    </row>
    <row r="215" spans="1:17" x14ac:dyDescent="0.3">
      <c r="A215" t="s">
        <v>1007</v>
      </c>
      <c r="B215" t="s">
        <v>1008</v>
      </c>
      <c r="C215" t="s">
        <v>79</v>
      </c>
      <c r="D215" t="s">
        <v>193</v>
      </c>
      <c r="E215" t="s">
        <v>139</v>
      </c>
      <c r="F215" t="s">
        <v>118</v>
      </c>
      <c r="G215" t="s">
        <v>218</v>
      </c>
      <c r="H215" t="s">
        <v>23</v>
      </c>
      <c r="I215" t="s">
        <v>47</v>
      </c>
      <c r="J215">
        <v>45229.03</v>
      </c>
      <c r="K215" s="1">
        <v>44638</v>
      </c>
      <c r="L215">
        <v>4</v>
      </c>
      <c r="M215" t="s">
        <v>25</v>
      </c>
      <c r="N215" t="s">
        <v>1009</v>
      </c>
      <c r="O215" t="s">
        <v>1010</v>
      </c>
      <c r="P215" t="s">
        <v>28</v>
      </c>
      <c r="Q215" t="s">
        <v>58</v>
      </c>
    </row>
    <row r="216" spans="1:17" x14ac:dyDescent="0.3">
      <c r="A216" t="s">
        <v>1011</v>
      </c>
      <c r="B216" t="s">
        <v>1012</v>
      </c>
      <c r="C216" t="s">
        <v>429</v>
      </c>
      <c r="D216" t="s">
        <v>486</v>
      </c>
      <c r="E216" t="s">
        <v>217</v>
      </c>
      <c r="F216" t="s">
        <v>118</v>
      </c>
      <c r="G216" t="s">
        <v>169</v>
      </c>
      <c r="H216" t="s">
        <v>55</v>
      </c>
      <c r="I216" t="s">
        <v>24</v>
      </c>
      <c r="J216">
        <v>54281.82</v>
      </c>
      <c r="K216" s="1">
        <v>44965</v>
      </c>
      <c r="L216">
        <v>3</v>
      </c>
      <c r="M216" t="s">
        <v>25</v>
      </c>
      <c r="N216" t="s">
        <v>1013</v>
      </c>
      <c r="O216" t="s">
        <v>1014</v>
      </c>
      <c r="P216" t="s">
        <v>28</v>
      </c>
      <c r="Q216" t="s">
        <v>58</v>
      </c>
    </row>
    <row r="217" spans="1:17" x14ac:dyDescent="0.3">
      <c r="A217" t="s">
        <v>1015</v>
      </c>
      <c r="B217" t="s">
        <v>1016</v>
      </c>
      <c r="C217" t="s">
        <v>42</v>
      </c>
      <c r="D217" t="s">
        <v>33</v>
      </c>
      <c r="E217" t="s">
        <v>86</v>
      </c>
      <c r="F217" t="s">
        <v>95</v>
      </c>
      <c r="G217" t="s">
        <v>111</v>
      </c>
      <c r="H217" t="s">
        <v>46</v>
      </c>
      <c r="I217" t="s">
        <v>37</v>
      </c>
      <c r="J217">
        <v>47328.33</v>
      </c>
      <c r="K217" s="1">
        <v>43812</v>
      </c>
      <c r="L217">
        <v>6</v>
      </c>
      <c r="M217" t="s">
        <v>25</v>
      </c>
      <c r="N217" t="s">
        <v>1017</v>
      </c>
      <c r="O217" t="s">
        <v>1018</v>
      </c>
      <c r="P217" t="s">
        <v>28</v>
      </c>
      <c r="Q217" t="s">
        <v>29</v>
      </c>
    </row>
    <row r="218" spans="1:17" x14ac:dyDescent="0.3">
      <c r="A218" t="s">
        <v>1019</v>
      </c>
      <c r="B218" t="s">
        <v>1020</v>
      </c>
      <c r="C218" t="s">
        <v>271</v>
      </c>
      <c r="D218" t="s">
        <v>312</v>
      </c>
      <c r="E218" t="s">
        <v>63</v>
      </c>
      <c r="F218" t="s">
        <v>132</v>
      </c>
      <c r="G218" t="s">
        <v>133</v>
      </c>
      <c r="H218" t="s">
        <v>23</v>
      </c>
      <c r="I218" t="s">
        <v>37</v>
      </c>
      <c r="J218">
        <v>48013.39</v>
      </c>
      <c r="K218" s="1">
        <v>44153</v>
      </c>
      <c r="L218">
        <v>5</v>
      </c>
      <c r="M218" t="s">
        <v>25</v>
      </c>
      <c r="N218" t="s">
        <v>1021</v>
      </c>
      <c r="O218" t="s">
        <v>1022</v>
      </c>
      <c r="P218" t="s">
        <v>28</v>
      </c>
      <c r="Q218" t="s">
        <v>58</v>
      </c>
    </row>
    <row r="219" spans="1:17" x14ac:dyDescent="0.3">
      <c r="A219" t="s">
        <v>1023</v>
      </c>
      <c r="B219" t="s">
        <v>1024</v>
      </c>
      <c r="C219" t="s">
        <v>235</v>
      </c>
      <c r="D219" t="s">
        <v>151</v>
      </c>
      <c r="E219" t="s">
        <v>193</v>
      </c>
      <c r="F219" t="s">
        <v>73</v>
      </c>
      <c r="G219" t="s">
        <v>87</v>
      </c>
      <c r="H219" t="s">
        <v>23</v>
      </c>
      <c r="I219" t="s">
        <v>24</v>
      </c>
      <c r="J219">
        <v>24154.63</v>
      </c>
      <c r="K219" s="1">
        <v>43739</v>
      </c>
      <c r="L219">
        <v>6</v>
      </c>
      <c r="M219" t="s">
        <v>25</v>
      </c>
      <c r="N219" t="s">
        <v>1025</v>
      </c>
      <c r="O219" t="s">
        <v>1026</v>
      </c>
      <c r="P219" t="s">
        <v>28</v>
      </c>
      <c r="Q219" t="s">
        <v>29</v>
      </c>
    </row>
    <row r="220" spans="1:17" x14ac:dyDescent="0.3">
      <c r="A220" t="s">
        <v>1027</v>
      </c>
      <c r="B220" t="s">
        <v>1028</v>
      </c>
      <c r="C220" t="s">
        <v>322</v>
      </c>
      <c r="D220" t="s">
        <v>80</v>
      </c>
      <c r="E220" t="s">
        <v>131</v>
      </c>
      <c r="F220" t="s">
        <v>35</v>
      </c>
      <c r="G220" t="s">
        <v>36</v>
      </c>
      <c r="H220" t="s">
        <v>46</v>
      </c>
      <c r="I220" t="s">
        <v>37</v>
      </c>
      <c r="J220">
        <v>40071.730000000003</v>
      </c>
      <c r="K220" s="1">
        <v>45488</v>
      </c>
      <c r="L220">
        <v>1</v>
      </c>
      <c r="M220" t="s">
        <v>25</v>
      </c>
      <c r="N220" t="s">
        <v>1029</v>
      </c>
      <c r="O220" t="s">
        <v>1030</v>
      </c>
      <c r="P220" t="s">
        <v>28</v>
      </c>
      <c r="Q220" t="s">
        <v>29</v>
      </c>
    </row>
    <row r="221" spans="1:17" x14ac:dyDescent="0.3">
      <c r="A221" t="s">
        <v>1031</v>
      </c>
      <c r="B221" t="s">
        <v>1032</v>
      </c>
      <c r="C221" t="s">
        <v>85</v>
      </c>
      <c r="D221" t="s">
        <v>193</v>
      </c>
      <c r="E221" t="s">
        <v>72</v>
      </c>
      <c r="F221" t="s">
        <v>132</v>
      </c>
      <c r="G221" t="s">
        <v>212</v>
      </c>
      <c r="H221" t="s">
        <v>66</v>
      </c>
      <c r="I221" t="s">
        <v>47</v>
      </c>
      <c r="J221">
        <v>51373.440000000002</v>
      </c>
      <c r="K221" s="1">
        <v>44524</v>
      </c>
      <c r="L221">
        <v>4</v>
      </c>
      <c r="M221" t="s">
        <v>25</v>
      </c>
      <c r="N221" t="s">
        <v>1033</v>
      </c>
      <c r="O221" t="s">
        <v>1034</v>
      </c>
      <c r="P221" t="s">
        <v>28</v>
      </c>
      <c r="Q221" t="s">
        <v>29</v>
      </c>
    </row>
    <row r="222" spans="1:17" x14ac:dyDescent="0.3">
      <c r="A222" t="s">
        <v>1035</v>
      </c>
      <c r="K222" s="1"/>
      <c r="Q222" t="s">
        <v>1036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15049-1016-4B5B-AFB4-1B1A8AC1418C}">
  <sheetPr codeName="Hoja3"/>
  <dimension ref="A1:X241"/>
  <sheetViews>
    <sheetView workbookViewId="0">
      <selection activeCell="F12" sqref="F12"/>
    </sheetView>
  </sheetViews>
  <sheetFormatPr baseColWidth="10" defaultRowHeight="14.4" x14ac:dyDescent="0.3"/>
  <cols>
    <col min="1" max="1" width="11" bestFit="1" customWidth="1"/>
    <col min="2" max="2" width="14.44140625" bestFit="1" customWidth="1"/>
    <col min="3" max="3" width="25.109375" bestFit="1" customWidth="1"/>
    <col min="4" max="4" width="15.44140625" bestFit="1" customWidth="1"/>
    <col min="5" max="5" width="20.33203125" bestFit="1" customWidth="1"/>
    <col min="6" max="6" width="25.44140625" bestFit="1" customWidth="1"/>
    <col min="7" max="7" width="15.33203125" bestFit="1" customWidth="1"/>
    <col min="8" max="8" width="18.33203125" bestFit="1" customWidth="1"/>
    <col min="9" max="9" width="9.33203125" bestFit="1" customWidth="1"/>
    <col min="10" max="10" width="10.5546875" bestFit="1" customWidth="1"/>
    <col min="11" max="11" width="11.21875" bestFit="1" customWidth="1"/>
    <col min="12" max="12" width="12.88671875" bestFit="1" customWidth="1"/>
    <col min="13" max="13" width="12.77734375" bestFit="1" customWidth="1"/>
    <col min="14" max="14" width="18.6640625" bestFit="1" customWidth="1"/>
    <col min="15" max="15" width="15.88671875" bestFit="1" customWidth="1"/>
    <col min="16" max="16" width="14.33203125" bestFit="1" customWidth="1"/>
    <col min="17" max="17" width="18" bestFit="1" customWidth="1"/>
    <col min="18" max="18" width="17.44140625" bestFit="1" customWidth="1"/>
    <col min="19" max="19" width="16.88671875" bestFit="1" customWidth="1"/>
    <col min="20" max="20" width="20.21875" bestFit="1" customWidth="1"/>
    <col min="21" max="21" width="22.44140625" bestFit="1" customWidth="1"/>
    <col min="22" max="22" width="19.33203125" bestFit="1" customWidth="1"/>
    <col min="23" max="23" width="22" bestFit="1" customWidth="1"/>
    <col min="24" max="24" width="16.33203125" bestFit="1" customWidth="1"/>
  </cols>
  <sheetData>
    <row r="1" spans="1:24" x14ac:dyDescent="0.3">
      <c r="A1" t="s">
        <v>1037</v>
      </c>
      <c r="B1" t="s">
        <v>0</v>
      </c>
      <c r="C1" t="s">
        <v>1</v>
      </c>
      <c r="D1" t="s">
        <v>5</v>
      </c>
      <c r="E1" t="s">
        <v>6</v>
      </c>
      <c r="F1" t="s">
        <v>7</v>
      </c>
      <c r="G1" t="s">
        <v>8</v>
      </c>
      <c r="H1" t="s">
        <v>11</v>
      </c>
      <c r="I1" t="s">
        <v>16</v>
      </c>
      <c r="J1" t="s">
        <v>1038</v>
      </c>
      <c r="K1" t="s">
        <v>1039</v>
      </c>
      <c r="L1" t="s">
        <v>1040</v>
      </c>
      <c r="M1" t="s">
        <v>1041</v>
      </c>
      <c r="N1" t="s">
        <v>1042</v>
      </c>
      <c r="O1" t="s">
        <v>1043</v>
      </c>
      <c r="P1" t="s">
        <v>1044</v>
      </c>
      <c r="Q1" t="s">
        <v>1045</v>
      </c>
      <c r="R1" t="s">
        <v>1046</v>
      </c>
      <c r="S1" t="s">
        <v>1047</v>
      </c>
      <c r="T1" t="s">
        <v>1305</v>
      </c>
      <c r="U1" t="s">
        <v>1306</v>
      </c>
      <c r="V1" t="s">
        <v>9</v>
      </c>
      <c r="W1" t="s">
        <v>1307</v>
      </c>
      <c r="X1" t="s">
        <v>1048</v>
      </c>
    </row>
    <row r="2" spans="1:24" x14ac:dyDescent="0.3">
      <c r="A2" t="s">
        <v>1049</v>
      </c>
      <c r="B2" t="s">
        <v>995</v>
      </c>
      <c r="C2" t="s">
        <v>996</v>
      </c>
      <c r="D2" t="s">
        <v>73</v>
      </c>
      <c r="E2" t="s">
        <v>424</v>
      </c>
      <c r="F2" t="s">
        <v>23</v>
      </c>
      <c r="G2" t="s">
        <v>47</v>
      </c>
      <c r="H2">
        <v>4</v>
      </c>
      <c r="I2" t="s">
        <v>29</v>
      </c>
      <c r="J2" s="1">
        <v>45569</v>
      </c>
      <c r="K2" t="s">
        <v>1050</v>
      </c>
      <c r="L2" t="s">
        <v>1051</v>
      </c>
      <c r="M2">
        <v>8</v>
      </c>
      <c r="N2" t="s">
        <v>1052</v>
      </c>
      <c r="O2">
        <v>8</v>
      </c>
      <c r="P2">
        <v>8.35</v>
      </c>
      <c r="Q2">
        <v>0.35</v>
      </c>
      <c r="R2">
        <v>17.95</v>
      </c>
      <c r="S2">
        <v>149.88</v>
      </c>
      <c r="T2">
        <v>21.32</v>
      </c>
      <c r="U2">
        <v>-20.68</v>
      </c>
      <c r="V2">
        <v>44351.37</v>
      </c>
      <c r="W2" s="1">
        <v>44316</v>
      </c>
      <c r="X2" t="s">
        <v>152</v>
      </c>
    </row>
    <row r="3" spans="1:24" x14ac:dyDescent="0.3">
      <c r="A3" t="s">
        <v>1130</v>
      </c>
      <c r="B3" t="s">
        <v>17</v>
      </c>
      <c r="C3" t="s">
        <v>18</v>
      </c>
      <c r="D3" t="s">
        <v>22</v>
      </c>
      <c r="E3" t="s">
        <v>22</v>
      </c>
      <c r="F3" t="s">
        <v>23</v>
      </c>
      <c r="G3" t="s">
        <v>24</v>
      </c>
      <c r="H3">
        <v>6</v>
      </c>
      <c r="I3" t="s">
        <v>29</v>
      </c>
      <c r="J3" s="1">
        <v>45586</v>
      </c>
      <c r="K3" t="s">
        <v>1050</v>
      </c>
      <c r="L3" t="s">
        <v>1058</v>
      </c>
      <c r="M3">
        <v>6</v>
      </c>
      <c r="N3" t="s">
        <v>1052</v>
      </c>
      <c r="O3">
        <v>8</v>
      </c>
      <c r="P3">
        <v>7.76</v>
      </c>
      <c r="Q3">
        <v>-0.24</v>
      </c>
      <c r="R3">
        <v>10.61</v>
      </c>
      <c r="S3">
        <v>82.33</v>
      </c>
      <c r="T3">
        <v>20.69</v>
      </c>
      <c r="U3">
        <v>-83.19</v>
      </c>
      <c r="V3">
        <v>43037.88</v>
      </c>
      <c r="W3" s="1">
        <v>43801</v>
      </c>
      <c r="X3" t="s">
        <v>25</v>
      </c>
    </row>
    <row r="4" spans="1:24" x14ac:dyDescent="0.3">
      <c r="A4" t="s">
        <v>1231</v>
      </c>
      <c r="B4" t="s">
        <v>17</v>
      </c>
      <c r="C4" t="s">
        <v>18</v>
      </c>
      <c r="D4" t="s">
        <v>22</v>
      </c>
      <c r="E4" t="s">
        <v>22</v>
      </c>
      <c r="F4" t="s">
        <v>23</v>
      </c>
      <c r="G4" t="s">
        <v>24</v>
      </c>
      <c r="H4">
        <v>6</v>
      </c>
      <c r="I4" t="s">
        <v>29</v>
      </c>
      <c r="J4" s="1">
        <v>45482</v>
      </c>
      <c r="K4" t="s">
        <v>1065</v>
      </c>
      <c r="L4" t="s">
        <v>1051</v>
      </c>
      <c r="M4">
        <v>8</v>
      </c>
      <c r="N4" t="s">
        <v>1052</v>
      </c>
      <c r="O4">
        <v>8</v>
      </c>
      <c r="P4">
        <v>8.33</v>
      </c>
      <c r="Q4">
        <v>0.33</v>
      </c>
      <c r="R4">
        <v>16.34</v>
      </c>
      <c r="S4">
        <v>136.11000000000001</v>
      </c>
      <c r="T4">
        <v>20.69</v>
      </c>
      <c r="U4">
        <v>-29.41</v>
      </c>
      <c r="V4">
        <v>43037.88</v>
      </c>
      <c r="W4" s="1">
        <v>43801</v>
      </c>
      <c r="X4" t="s">
        <v>152</v>
      </c>
    </row>
    <row r="5" spans="1:24" x14ac:dyDescent="0.3">
      <c r="A5" t="s">
        <v>1053</v>
      </c>
      <c r="B5" t="s">
        <v>190</v>
      </c>
      <c r="C5" t="s">
        <v>191</v>
      </c>
      <c r="D5" t="s">
        <v>64</v>
      </c>
      <c r="E5" t="s">
        <v>65</v>
      </c>
      <c r="F5" t="s">
        <v>23</v>
      </c>
      <c r="G5" t="s">
        <v>97</v>
      </c>
      <c r="H5">
        <v>2</v>
      </c>
      <c r="I5" t="s">
        <v>58</v>
      </c>
      <c r="J5" s="1">
        <v>45505</v>
      </c>
      <c r="K5" t="s">
        <v>1054</v>
      </c>
      <c r="L5" t="s">
        <v>1055</v>
      </c>
      <c r="M5">
        <v>22</v>
      </c>
      <c r="N5" t="s">
        <v>1052</v>
      </c>
      <c r="O5">
        <v>8</v>
      </c>
      <c r="P5">
        <v>8.06</v>
      </c>
      <c r="Q5">
        <v>0.06</v>
      </c>
      <c r="R5">
        <v>22.91</v>
      </c>
      <c r="S5">
        <v>184.65</v>
      </c>
      <c r="T5">
        <v>12.65</v>
      </c>
      <c r="U5">
        <v>83.45</v>
      </c>
      <c r="V5">
        <v>26311.7</v>
      </c>
      <c r="W5" s="1">
        <v>45221</v>
      </c>
      <c r="X5" t="s">
        <v>25</v>
      </c>
    </row>
    <row r="6" spans="1:24" x14ac:dyDescent="0.3">
      <c r="A6" t="s">
        <v>1164</v>
      </c>
      <c r="B6" t="s">
        <v>190</v>
      </c>
      <c r="C6" t="s">
        <v>191</v>
      </c>
      <c r="D6" t="s">
        <v>64</v>
      </c>
      <c r="E6" t="s">
        <v>65</v>
      </c>
      <c r="F6" t="s">
        <v>23</v>
      </c>
      <c r="G6" t="s">
        <v>97</v>
      </c>
      <c r="H6">
        <v>2</v>
      </c>
      <c r="I6" t="s">
        <v>58</v>
      </c>
      <c r="J6" s="1">
        <v>45528</v>
      </c>
      <c r="K6" t="s">
        <v>1054</v>
      </c>
      <c r="L6" t="s">
        <v>1051</v>
      </c>
      <c r="M6">
        <v>8</v>
      </c>
      <c r="N6" t="s">
        <v>1052</v>
      </c>
      <c r="O6">
        <v>8</v>
      </c>
      <c r="P6">
        <v>8.4600000000000009</v>
      </c>
      <c r="Q6">
        <v>0.46</v>
      </c>
      <c r="R6">
        <v>11.27</v>
      </c>
      <c r="S6">
        <v>95.34</v>
      </c>
      <c r="T6">
        <v>12.65</v>
      </c>
      <c r="U6">
        <v>-5.86</v>
      </c>
      <c r="V6">
        <v>26311.7</v>
      </c>
      <c r="W6" s="1">
        <v>45221</v>
      </c>
      <c r="X6" t="s">
        <v>152</v>
      </c>
    </row>
    <row r="7" spans="1:24" x14ac:dyDescent="0.3">
      <c r="A7" t="s">
        <v>1214</v>
      </c>
      <c r="B7" t="s">
        <v>190</v>
      </c>
      <c r="C7" t="s">
        <v>191</v>
      </c>
      <c r="D7" t="s">
        <v>64</v>
      </c>
      <c r="E7" t="s">
        <v>65</v>
      </c>
      <c r="F7" t="s">
        <v>23</v>
      </c>
      <c r="G7" t="s">
        <v>97</v>
      </c>
      <c r="H7">
        <v>2</v>
      </c>
      <c r="I7" t="s">
        <v>58</v>
      </c>
      <c r="J7" s="1">
        <v>45529</v>
      </c>
      <c r="K7" t="s">
        <v>1054</v>
      </c>
      <c r="L7" t="s">
        <v>1066</v>
      </c>
      <c r="M7">
        <v>14</v>
      </c>
      <c r="N7" t="s">
        <v>1052</v>
      </c>
      <c r="O7">
        <v>8</v>
      </c>
      <c r="P7">
        <v>8.39</v>
      </c>
      <c r="Q7">
        <v>0.39</v>
      </c>
      <c r="R7">
        <v>12.82</v>
      </c>
      <c r="S7">
        <v>107.56</v>
      </c>
      <c r="T7">
        <v>12.65</v>
      </c>
      <c r="U7">
        <v>6.36</v>
      </c>
      <c r="V7">
        <v>26311.7</v>
      </c>
      <c r="W7" s="1">
        <v>45221</v>
      </c>
      <c r="X7" t="s">
        <v>152</v>
      </c>
    </row>
    <row r="8" spans="1:24" x14ac:dyDescent="0.3">
      <c r="A8" t="s">
        <v>1167</v>
      </c>
      <c r="B8" t="s">
        <v>30</v>
      </c>
      <c r="C8" t="s">
        <v>31</v>
      </c>
      <c r="D8" t="s">
        <v>35</v>
      </c>
      <c r="E8" t="s">
        <v>36</v>
      </c>
      <c r="F8" t="s">
        <v>23</v>
      </c>
      <c r="G8" t="s">
        <v>37</v>
      </c>
      <c r="H8">
        <v>2</v>
      </c>
      <c r="I8" t="s">
        <v>29</v>
      </c>
      <c r="J8" s="1">
        <v>45598</v>
      </c>
      <c r="K8" t="s">
        <v>1062</v>
      </c>
      <c r="L8" t="s">
        <v>1051</v>
      </c>
      <c r="M8">
        <v>8</v>
      </c>
      <c r="N8" t="s">
        <v>1073</v>
      </c>
      <c r="O8">
        <v>8</v>
      </c>
      <c r="P8">
        <v>0</v>
      </c>
      <c r="Q8">
        <v>-8</v>
      </c>
      <c r="R8">
        <v>18.440000000000001</v>
      </c>
      <c r="S8">
        <v>0</v>
      </c>
      <c r="T8">
        <v>14.71</v>
      </c>
      <c r="U8">
        <v>-117.68</v>
      </c>
      <c r="V8">
        <v>30589.27</v>
      </c>
      <c r="W8" s="1">
        <v>45310</v>
      </c>
      <c r="X8" t="s">
        <v>25</v>
      </c>
    </row>
    <row r="9" spans="1:24" x14ac:dyDescent="0.3">
      <c r="A9" t="s">
        <v>1168</v>
      </c>
      <c r="B9" t="s">
        <v>30</v>
      </c>
      <c r="C9" t="s">
        <v>31</v>
      </c>
      <c r="D9" t="s">
        <v>35</v>
      </c>
      <c r="E9" t="s">
        <v>36</v>
      </c>
      <c r="F9" t="s">
        <v>23</v>
      </c>
      <c r="G9" t="s">
        <v>37</v>
      </c>
      <c r="H9">
        <v>2</v>
      </c>
      <c r="I9" t="s">
        <v>29</v>
      </c>
      <c r="J9" s="1">
        <v>45518</v>
      </c>
      <c r="K9" t="s">
        <v>1054</v>
      </c>
      <c r="L9" t="s">
        <v>1066</v>
      </c>
      <c r="M9">
        <v>14</v>
      </c>
      <c r="N9" t="s">
        <v>1063</v>
      </c>
      <c r="O9">
        <v>8</v>
      </c>
      <c r="P9">
        <v>0</v>
      </c>
      <c r="Q9">
        <v>-8</v>
      </c>
      <c r="R9">
        <v>11.36</v>
      </c>
      <c r="S9">
        <v>0</v>
      </c>
      <c r="T9">
        <v>14.71</v>
      </c>
      <c r="U9">
        <v>-117.68</v>
      </c>
      <c r="V9">
        <v>30589.27</v>
      </c>
      <c r="W9" s="1">
        <v>45310</v>
      </c>
      <c r="X9" t="s">
        <v>25</v>
      </c>
    </row>
    <row r="10" spans="1:24" x14ac:dyDescent="0.3">
      <c r="A10" t="s">
        <v>1056</v>
      </c>
      <c r="B10" t="s">
        <v>250</v>
      </c>
      <c r="C10" t="s">
        <v>251</v>
      </c>
      <c r="D10" t="s">
        <v>95</v>
      </c>
      <c r="E10" t="s">
        <v>111</v>
      </c>
      <c r="F10" t="s">
        <v>55</v>
      </c>
      <c r="G10" t="s">
        <v>37</v>
      </c>
      <c r="H10">
        <v>2</v>
      </c>
      <c r="I10" t="s">
        <v>58</v>
      </c>
      <c r="J10" s="1">
        <v>45562</v>
      </c>
      <c r="K10" t="s">
        <v>1057</v>
      </c>
      <c r="L10" t="s">
        <v>1058</v>
      </c>
      <c r="M10">
        <v>6</v>
      </c>
      <c r="N10" t="s">
        <v>1052</v>
      </c>
      <c r="O10">
        <v>8</v>
      </c>
      <c r="P10">
        <v>7.9</v>
      </c>
      <c r="Q10">
        <v>-0.1</v>
      </c>
      <c r="R10">
        <v>16.84</v>
      </c>
      <c r="S10">
        <v>133.04</v>
      </c>
      <c r="T10">
        <v>23.79</v>
      </c>
      <c r="U10">
        <v>-57.28</v>
      </c>
      <c r="V10">
        <v>49485.25</v>
      </c>
      <c r="W10" s="1">
        <v>45256</v>
      </c>
      <c r="X10" t="s">
        <v>152</v>
      </c>
    </row>
    <row r="11" spans="1:24" x14ac:dyDescent="0.3">
      <c r="A11" t="s">
        <v>1135</v>
      </c>
      <c r="B11" t="s">
        <v>250</v>
      </c>
      <c r="C11" t="s">
        <v>251</v>
      </c>
      <c r="D11" t="s">
        <v>95</v>
      </c>
      <c r="E11" t="s">
        <v>111</v>
      </c>
      <c r="F11" t="s">
        <v>55</v>
      </c>
      <c r="G11" t="s">
        <v>37</v>
      </c>
      <c r="H11">
        <v>2</v>
      </c>
      <c r="I11" t="s">
        <v>58</v>
      </c>
      <c r="J11" s="1">
        <v>45491</v>
      </c>
      <c r="K11" t="s">
        <v>1065</v>
      </c>
      <c r="L11" t="s">
        <v>1066</v>
      </c>
      <c r="M11">
        <v>14</v>
      </c>
      <c r="N11" t="s">
        <v>1052</v>
      </c>
      <c r="O11">
        <v>8</v>
      </c>
      <c r="P11">
        <v>8.1999999999999993</v>
      </c>
      <c r="Q11">
        <v>0.2</v>
      </c>
      <c r="R11">
        <v>11.45</v>
      </c>
      <c r="S11">
        <v>93.89</v>
      </c>
      <c r="T11">
        <v>23.79</v>
      </c>
      <c r="U11">
        <v>-96.43</v>
      </c>
      <c r="V11">
        <v>49485.25</v>
      </c>
      <c r="W11" s="1">
        <v>45256</v>
      </c>
      <c r="X11" t="s">
        <v>25</v>
      </c>
    </row>
    <row r="12" spans="1:24" x14ac:dyDescent="0.3">
      <c r="A12" t="s">
        <v>1224</v>
      </c>
      <c r="B12" t="s">
        <v>250</v>
      </c>
      <c r="C12" t="s">
        <v>251</v>
      </c>
      <c r="D12" t="s">
        <v>95</v>
      </c>
      <c r="E12" t="s">
        <v>111</v>
      </c>
      <c r="F12" t="s">
        <v>55</v>
      </c>
      <c r="G12" t="s">
        <v>37</v>
      </c>
      <c r="H12">
        <v>2</v>
      </c>
      <c r="I12" t="s">
        <v>58</v>
      </c>
      <c r="J12" s="1">
        <v>45504</v>
      </c>
      <c r="K12" t="s">
        <v>1065</v>
      </c>
      <c r="L12" t="s">
        <v>1058</v>
      </c>
      <c r="M12">
        <v>6</v>
      </c>
      <c r="N12" t="s">
        <v>1073</v>
      </c>
      <c r="O12">
        <v>8</v>
      </c>
      <c r="P12">
        <v>0</v>
      </c>
      <c r="Q12">
        <v>-8</v>
      </c>
      <c r="R12">
        <v>26.18</v>
      </c>
      <c r="S12">
        <v>0</v>
      </c>
      <c r="T12">
        <v>23.79</v>
      </c>
      <c r="U12">
        <v>-190.32</v>
      </c>
      <c r="V12">
        <v>49485.25</v>
      </c>
      <c r="W12" s="1">
        <v>45256</v>
      </c>
      <c r="X12" t="s">
        <v>25</v>
      </c>
    </row>
    <row r="13" spans="1:24" x14ac:dyDescent="0.3">
      <c r="A13" t="s">
        <v>1090</v>
      </c>
      <c r="B13" t="s">
        <v>40</v>
      </c>
      <c r="C13" t="s">
        <v>41</v>
      </c>
      <c r="D13" t="s">
        <v>35</v>
      </c>
      <c r="E13" t="s">
        <v>45</v>
      </c>
      <c r="F13" t="s">
        <v>46</v>
      </c>
      <c r="G13" t="s">
        <v>47</v>
      </c>
      <c r="H13">
        <v>1</v>
      </c>
      <c r="I13" t="s">
        <v>29</v>
      </c>
      <c r="J13" s="1">
        <v>45551</v>
      </c>
      <c r="K13" t="s">
        <v>1057</v>
      </c>
      <c r="L13" t="s">
        <v>1066</v>
      </c>
      <c r="M13">
        <v>14</v>
      </c>
      <c r="N13" t="s">
        <v>1060</v>
      </c>
      <c r="O13">
        <v>8</v>
      </c>
      <c r="P13">
        <v>7.23</v>
      </c>
      <c r="Q13">
        <v>-0.77</v>
      </c>
      <c r="R13">
        <v>24.24</v>
      </c>
      <c r="S13">
        <v>175.26</v>
      </c>
      <c r="T13">
        <v>21.19</v>
      </c>
      <c r="U13">
        <v>5.74</v>
      </c>
      <c r="V13">
        <v>44069.16</v>
      </c>
      <c r="W13" s="1">
        <v>45535</v>
      </c>
      <c r="X13" t="s">
        <v>152</v>
      </c>
    </row>
    <row r="14" spans="1:24" x14ac:dyDescent="0.3">
      <c r="A14" t="s">
        <v>1103</v>
      </c>
      <c r="B14" t="s">
        <v>40</v>
      </c>
      <c r="C14" t="s">
        <v>41</v>
      </c>
      <c r="D14" t="s">
        <v>35</v>
      </c>
      <c r="E14" t="s">
        <v>45</v>
      </c>
      <c r="F14" t="s">
        <v>46</v>
      </c>
      <c r="G14" t="s">
        <v>47</v>
      </c>
      <c r="H14">
        <v>1</v>
      </c>
      <c r="I14" t="s">
        <v>29</v>
      </c>
      <c r="J14" s="1">
        <v>45525</v>
      </c>
      <c r="K14" t="s">
        <v>1054</v>
      </c>
      <c r="L14" t="s">
        <v>1058</v>
      </c>
      <c r="M14">
        <v>6</v>
      </c>
      <c r="N14" t="s">
        <v>1052</v>
      </c>
      <c r="O14">
        <v>8</v>
      </c>
      <c r="P14">
        <v>8.32</v>
      </c>
      <c r="Q14">
        <v>0.32</v>
      </c>
      <c r="R14">
        <v>15.52</v>
      </c>
      <c r="S14">
        <v>129.13</v>
      </c>
      <c r="T14">
        <v>21.19</v>
      </c>
      <c r="U14">
        <v>-40.39</v>
      </c>
      <c r="V14">
        <v>44069.16</v>
      </c>
      <c r="W14" s="1">
        <v>45535</v>
      </c>
      <c r="X14" t="s">
        <v>25</v>
      </c>
    </row>
    <row r="15" spans="1:24" x14ac:dyDescent="0.3">
      <c r="A15" t="s">
        <v>1222</v>
      </c>
      <c r="B15" t="s">
        <v>40</v>
      </c>
      <c r="C15" t="s">
        <v>41</v>
      </c>
      <c r="D15" t="s">
        <v>35</v>
      </c>
      <c r="E15" t="s">
        <v>45</v>
      </c>
      <c r="F15" t="s">
        <v>46</v>
      </c>
      <c r="G15" t="s">
        <v>47</v>
      </c>
      <c r="H15">
        <v>1</v>
      </c>
      <c r="I15" t="s">
        <v>29</v>
      </c>
      <c r="J15" s="1">
        <v>45641</v>
      </c>
      <c r="K15" t="s">
        <v>1069</v>
      </c>
      <c r="L15" t="s">
        <v>1058</v>
      </c>
      <c r="M15">
        <v>6</v>
      </c>
      <c r="N15" t="s">
        <v>1052</v>
      </c>
      <c r="O15">
        <v>8</v>
      </c>
      <c r="P15">
        <v>8.06</v>
      </c>
      <c r="Q15">
        <v>0.06</v>
      </c>
      <c r="R15">
        <v>22.5</v>
      </c>
      <c r="S15">
        <v>181.35</v>
      </c>
      <c r="T15">
        <v>21.19</v>
      </c>
      <c r="U15">
        <v>11.83</v>
      </c>
      <c r="V15">
        <v>44069.16</v>
      </c>
      <c r="W15" s="1">
        <v>45535</v>
      </c>
      <c r="X15" t="s">
        <v>25</v>
      </c>
    </row>
    <row r="16" spans="1:24" x14ac:dyDescent="0.3">
      <c r="A16" t="s">
        <v>1059</v>
      </c>
      <c r="B16" t="s">
        <v>427</v>
      </c>
      <c r="C16" t="s">
        <v>428</v>
      </c>
      <c r="D16" t="s">
        <v>64</v>
      </c>
      <c r="E16" t="s">
        <v>430</v>
      </c>
      <c r="F16" t="s">
        <v>46</v>
      </c>
      <c r="G16" t="s">
        <v>37</v>
      </c>
      <c r="H16">
        <v>3</v>
      </c>
      <c r="I16" t="s">
        <v>58</v>
      </c>
      <c r="J16" s="1">
        <v>45521</v>
      </c>
      <c r="K16" t="s">
        <v>1054</v>
      </c>
      <c r="L16" t="s">
        <v>1055</v>
      </c>
      <c r="M16">
        <v>22</v>
      </c>
      <c r="N16" t="s">
        <v>1060</v>
      </c>
      <c r="O16">
        <v>8</v>
      </c>
      <c r="P16">
        <v>6.37</v>
      </c>
      <c r="Q16">
        <v>-1.63</v>
      </c>
      <c r="R16">
        <v>27.86</v>
      </c>
      <c r="S16">
        <v>177.47</v>
      </c>
      <c r="T16">
        <v>15.93</v>
      </c>
      <c r="U16">
        <v>50.03</v>
      </c>
      <c r="V16">
        <v>33124.47</v>
      </c>
      <c r="W16" s="1">
        <v>44936</v>
      </c>
      <c r="X16" t="s">
        <v>25</v>
      </c>
    </row>
    <row r="17" spans="1:24" x14ac:dyDescent="0.3">
      <c r="A17" t="s">
        <v>1111</v>
      </c>
      <c r="B17" t="s">
        <v>427</v>
      </c>
      <c r="C17" t="s">
        <v>428</v>
      </c>
      <c r="D17" t="s">
        <v>64</v>
      </c>
      <c r="E17" t="s">
        <v>430</v>
      </c>
      <c r="F17" t="s">
        <v>46</v>
      </c>
      <c r="G17" t="s">
        <v>37</v>
      </c>
      <c r="H17">
        <v>3</v>
      </c>
      <c r="I17" t="s">
        <v>58</v>
      </c>
      <c r="J17" s="1">
        <v>45655</v>
      </c>
      <c r="K17" t="s">
        <v>1069</v>
      </c>
      <c r="L17" t="s">
        <v>1051</v>
      </c>
      <c r="M17">
        <v>8</v>
      </c>
      <c r="N17" t="s">
        <v>1052</v>
      </c>
      <c r="O17">
        <v>8</v>
      </c>
      <c r="P17">
        <v>8.48</v>
      </c>
      <c r="Q17">
        <v>0.48</v>
      </c>
      <c r="R17">
        <v>24</v>
      </c>
      <c r="S17">
        <v>203.52</v>
      </c>
      <c r="T17">
        <v>15.93</v>
      </c>
      <c r="U17">
        <v>76.08</v>
      </c>
      <c r="V17">
        <v>33124.47</v>
      </c>
      <c r="W17" s="1">
        <v>44936</v>
      </c>
      <c r="X17" t="s">
        <v>25</v>
      </c>
    </row>
    <row r="18" spans="1:24" x14ac:dyDescent="0.3">
      <c r="A18" t="s">
        <v>1223</v>
      </c>
      <c r="B18" t="s">
        <v>427</v>
      </c>
      <c r="C18" t="s">
        <v>428</v>
      </c>
      <c r="D18" t="s">
        <v>64</v>
      </c>
      <c r="E18" t="s">
        <v>430</v>
      </c>
      <c r="F18" t="s">
        <v>46</v>
      </c>
      <c r="G18" t="s">
        <v>37</v>
      </c>
      <c r="H18">
        <v>3</v>
      </c>
      <c r="I18" t="s">
        <v>58</v>
      </c>
      <c r="J18" s="1">
        <v>45650</v>
      </c>
      <c r="K18" t="s">
        <v>1069</v>
      </c>
      <c r="L18" t="s">
        <v>1066</v>
      </c>
      <c r="M18">
        <v>14</v>
      </c>
      <c r="N18" t="s">
        <v>1052</v>
      </c>
      <c r="O18">
        <v>8</v>
      </c>
      <c r="P18">
        <v>8.2100000000000009</v>
      </c>
      <c r="Q18">
        <v>0.21</v>
      </c>
      <c r="R18">
        <v>27.13</v>
      </c>
      <c r="S18">
        <v>222.74</v>
      </c>
      <c r="T18">
        <v>15.93</v>
      </c>
      <c r="U18">
        <v>95.3</v>
      </c>
      <c r="V18">
        <v>33124.47</v>
      </c>
      <c r="W18" s="1">
        <v>44936</v>
      </c>
      <c r="X18" t="s">
        <v>25</v>
      </c>
    </row>
    <row r="19" spans="1:24" x14ac:dyDescent="0.3">
      <c r="A19" t="s">
        <v>1215</v>
      </c>
      <c r="B19" t="s">
        <v>50</v>
      </c>
      <c r="C19" t="s">
        <v>51</v>
      </c>
      <c r="D19" t="s">
        <v>35</v>
      </c>
      <c r="E19" t="s">
        <v>45</v>
      </c>
      <c r="F19" t="s">
        <v>55</v>
      </c>
      <c r="G19" t="s">
        <v>47</v>
      </c>
      <c r="H19">
        <v>2</v>
      </c>
      <c r="I19" t="s">
        <v>58</v>
      </c>
      <c r="J19" s="1">
        <v>45504</v>
      </c>
      <c r="K19" t="s">
        <v>1065</v>
      </c>
      <c r="L19" t="s">
        <v>1058</v>
      </c>
      <c r="M19">
        <v>6</v>
      </c>
      <c r="N19" t="s">
        <v>1073</v>
      </c>
      <c r="O19">
        <v>8</v>
      </c>
      <c r="P19">
        <v>0</v>
      </c>
      <c r="Q19">
        <v>-8</v>
      </c>
      <c r="R19">
        <v>22.04</v>
      </c>
      <c r="S19">
        <v>0</v>
      </c>
      <c r="T19">
        <v>18.16</v>
      </c>
      <c r="U19">
        <v>-145.28</v>
      </c>
      <c r="V19">
        <v>37763.18</v>
      </c>
      <c r="W19" s="1">
        <v>45127</v>
      </c>
      <c r="X19" t="s">
        <v>25</v>
      </c>
    </row>
    <row r="20" spans="1:24" x14ac:dyDescent="0.3">
      <c r="A20" t="s">
        <v>1061</v>
      </c>
      <c r="B20" t="s">
        <v>1011</v>
      </c>
      <c r="C20" t="s">
        <v>1012</v>
      </c>
      <c r="D20" t="s">
        <v>118</v>
      </c>
      <c r="E20" t="s">
        <v>169</v>
      </c>
      <c r="F20" t="s">
        <v>55</v>
      </c>
      <c r="G20" t="s">
        <v>24</v>
      </c>
      <c r="H20">
        <v>3</v>
      </c>
      <c r="I20" t="s">
        <v>58</v>
      </c>
      <c r="J20" s="1">
        <v>45613</v>
      </c>
      <c r="K20" t="s">
        <v>1062</v>
      </c>
      <c r="L20" t="s">
        <v>1051</v>
      </c>
      <c r="M20">
        <v>8</v>
      </c>
      <c r="N20" t="s">
        <v>1063</v>
      </c>
      <c r="O20">
        <v>8</v>
      </c>
      <c r="P20">
        <v>0</v>
      </c>
      <c r="Q20">
        <v>-8</v>
      </c>
      <c r="R20">
        <v>14.94</v>
      </c>
      <c r="S20">
        <v>0</v>
      </c>
      <c r="T20">
        <v>26.1</v>
      </c>
      <c r="U20">
        <v>-208.8</v>
      </c>
      <c r="V20">
        <v>54281.82</v>
      </c>
      <c r="W20" s="1">
        <v>44965</v>
      </c>
      <c r="X20" t="s">
        <v>152</v>
      </c>
    </row>
    <row r="21" spans="1:24" x14ac:dyDescent="0.3">
      <c r="A21" t="s">
        <v>1229</v>
      </c>
      <c r="B21" t="s">
        <v>59</v>
      </c>
      <c r="C21" t="s">
        <v>60</v>
      </c>
      <c r="D21" t="s">
        <v>64</v>
      </c>
      <c r="E21" t="s">
        <v>65</v>
      </c>
      <c r="F21" t="s">
        <v>66</v>
      </c>
      <c r="G21" t="s">
        <v>37</v>
      </c>
      <c r="H21">
        <v>4</v>
      </c>
      <c r="I21" t="s">
        <v>29</v>
      </c>
      <c r="J21" s="1">
        <v>45620</v>
      </c>
      <c r="K21" t="s">
        <v>1062</v>
      </c>
      <c r="L21" t="s">
        <v>1051</v>
      </c>
      <c r="M21">
        <v>8</v>
      </c>
      <c r="N21" t="s">
        <v>1052</v>
      </c>
      <c r="O21">
        <v>8</v>
      </c>
      <c r="P21">
        <v>8.23</v>
      </c>
      <c r="Q21">
        <v>0.23</v>
      </c>
      <c r="R21">
        <v>15.16</v>
      </c>
      <c r="S21">
        <v>124.77</v>
      </c>
      <c r="T21">
        <v>24.39</v>
      </c>
      <c r="U21">
        <v>-70.349999999999994</v>
      </c>
      <c r="V21">
        <v>50733.279999999999</v>
      </c>
      <c r="W21" s="1">
        <v>44312</v>
      </c>
      <c r="X21" t="s">
        <v>152</v>
      </c>
    </row>
    <row r="22" spans="1:24" x14ac:dyDescent="0.3">
      <c r="A22" t="s">
        <v>1064</v>
      </c>
      <c r="B22" t="s">
        <v>596</v>
      </c>
      <c r="C22" t="s">
        <v>597</v>
      </c>
      <c r="D22" t="s">
        <v>95</v>
      </c>
      <c r="E22" t="s">
        <v>162</v>
      </c>
      <c r="F22" t="s">
        <v>46</v>
      </c>
      <c r="G22" t="s">
        <v>37</v>
      </c>
      <c r="H22">
        <v>3</v>
      </c>
      <c r="I22" t="s">
        <v>58</v>
      </c>
      <c r="J22" s="1">
        <v>45490</v>
      </c>
      <c r="K22" t="s">
        <v>1065</v>
      </c>
      <c r="L22" t="s">
        <v>1066</v>
      </c>
      <c r="M22">
        <v>14</v>
      </c>
      <c r="N22" t="s">
        <v>1052</v>
      </c>
      <c r="O22">
        <v>8</v>
      </c>
      <c r="P22">
        <v>8.31</v>
      </c>
      <c r="Q22">
        <v>0.31</v>
      </c>
      <c r="R22">
        <v>12.25</v>
      </c>
      <c r="S22">
        <v>101.8</v>
      </c>
      <c r="T22">
        <v>15.92</v>
      </c>
      <c r="U22">
        <v>-25.56</v>
      </c>
      <c r="V22">
        <v>33105.589999999997</v>
      </c>
      <c r="W22" s="1">
        <v>45014</v>
      </c>
      <c r="X22" t="s">
        <v>152</v>
      </c>
    </row>
    <row r="23" spans="1:24" x14ac:dyDescent="0.3">
      <c r="A23" t="s">
        <v>1139</v>
      </c>
      <c r="B23" t="s">
        <v>596</v>
      </c>
      <c r="C23" t="s">
        <v>597</v>
      </c>
      <c r="D23" t="s">
        <v>95</v>
      </c>
      <c r="E23" t="s">
        <v>162</v>
      </c>
      <c r="F23" t="s">
        <v>46</v>
      </c>
      <c r="G23" t="s">
        <v>37</v>
      </c>
      <c r="H23">
        <v>3</v>
      </c>
      <c r="I23" t="s">
        <v>58</v>
      </c>
      <c r="J23" s="1">
        <v>45515</v>
      </c>
      <c r="K23" t="s">
        <v>1054</v>
      </c>
      <c r="L23" t="s">
        <v>1066</v>
      </c>
      <c r="M23">
        <v>14</v>
      </c>
      <c r="N23" t="s">
        <v>1052</v>
      </c>
      <c r="O23">
        <v>8</v>
      </c>
      <c r="P23">
        <v>8.5</v>
      </c>
      <c r="Q23">
        <v>0.5</v>
      </c>
      <c r="R23">
        <v>14.74</v>
      </c>
      <c r="S23">
        <v>125.29</v>
      </c>
      <c r="T23">
        <v>15.92</v>
      </c>
      <c r="U23">
        <v>-2.0699999999999998</v>
      </c>
      <c r="V23">
        <v>33105.589999999997</v>
      </c>
      <c r="W23" s="1">
        <v>45014</v>
      </c>
      <c r="X23" t="s">
        <v>152</v>
      </c>
    </row>
    <row r="24" spans="1:24" x14ac:dyDescent="0.3">
      <c r="A24" t="s">
        <v>1131</v>
      </c>
      <c r="B24" t="s">
        <v>69</v>
      </c>
      <c r="C24" t="s">
        <v>70</v>
      </c>
      <c r="D24" t="s">
        <v>73</v>
      </c>
      <c r="E24" t="s">
        <v>74</v>
      </c>
      <c r="F24" t="s">
        <v>23</v>
      </c>
      <c r="G24" t="s">
        <v>47</v>
      </c>
      <c r="H24">
        <v>3</v>
      </c>
      <c r="I24" t="s">
        <v>29</v>
      </c>
      <c r="J24" s="1">
        <v>45517</v>
      </c>
      <c r="K24" t="s">
        <v>1054</v>
      </c>
      <c r="L24" t="s">
        <v>1055</v>
      </c>
      <c r="M24">
        <v>22</v>
      </c>
      <c r="N24" t="s">
        <v>1052</v>
      </c>
      <c r="O24">
        <v>8</v>
      </c>
      <c r="P24">
        <v>8.17</v>
      </c>
      <c r="Q24">
        <v>0.17</v>
      </c>
      <c r="R24">
        <v>12.15</v>
      </c>
      <c r="S24">
        <v>99.27</v>
      </c>
      <c r="T24">
        <v>22.74</v>
      </c>
      <c r="U24">
        <v>-82.65</v>
      </c>
      <c r="V24">
        <v>47306.94</v>
      </c>
      <c r="W24" s="1">
        <v>44764</v>
      </c>
      <c r="X24" t="s">
        <v>152</v>
      </c>
    </row>
    <row r="25" spans="1:24" x14ac:dyDescent="0.3">
      <c r="A25" t="s">
        <v>1067</v>
      </c>
      <c r="B25" t="s">
        <v>1031</v>
      </c>
      <c r="C25" t="s">
        <v>1032</v>
      </c>
      <c r="D25" t="s">
        <v>132</v>
      </c>
      <c r="E25" t="s">
        <v>212</v>
      </c>
      <c r="F25" t="s">
        <v>66</v>
      </c>
      <c r="G25" t="s">
        <v>47</v>
      </c>
      <c r="H25">
        <v>4</v>
      </c>
      <c r="I25" t="s">
        <v>29</v>
      </c>
      <c r="J25" s="1">
        <v>45617</v>
      </c>
      <c r="K25" t="s">
        <v>1062</v>
      </c>
      <c r="L25" t="s">
        <v>1058</v>
      </c>
      <c r="M25">
        <v>6</v>
      </c>
      <c r="N25" t="s">
        <v>1060</v>
      </c>
      <c r="O25">
        <v>8</v>
      </c>
      <c r="P25">
        <v>5.57</v>
      </c>
      <c r="Q25">
        <v>-2.4300000000000002</v>
      </c>
      <c r="R25">
        <v>24.91</v>
      </c>
      <c r="S25">
        <v>138.75</v>
      </c>
      <c r="T25">
        <v>24.7</v>
      </c>
      <c r="U25">
        <v>-58.85</v>
      </c>
      <c r="V25">
        <v>51373.440000000002</v>
      </c>
      <c r="W25" s="1">
        <v>44524</v>
      </c>
      <c r="X25" t="s">
        <v>152</v>
      </c>
    </row>
    <row r="26" spans="1:24" x14ac:dyDescent="0.3">
      <c r="A26" t="s">
        <v>1143</v>
      </c>
      <c r="B26" t="s">
        <v>1031</v>
      </c>
      <c r="C26" t="s">
        <v>1032</v>
      </c>
      <c r="D26" t="s">
        <v>132</v>
      </c>
      <c r="E26" t="s">
        <v>212</v>
      </c>
      <c r="F26" t="s">
        <v>66</v>
      </c>
      <c r="G26" t="s">
        <v>47</v>
      </c>
      <c r="H26">
        <v>4</v>
      </c>
      <c r="I26" t="s">
        <v>29</v>
      </c>
      <c r="J26" s="1">
        <v>45580</v>
      </c>
      <c r="K26" t="s">
        <v>1050</v>
      </c>
      <c r="L26" t="s">
        <v>1058</v>
      </c>
      <c r="M26">
        <v>6</v>
      </c>
      <c r="N26" t="s">
        <v>1060</v>
      </c>
      <c r="O26">
        <v>8</v>
      </c>
      <c r="P26">
        <v>6.56</v>
      </c>
      <c r="Q26">
        <v>-1.44</v>
      </c>
      <c r="R26">
        <v>23.45</v>
      </c>
      <c r="S26">
        <v>153.83000000000001</v>
      </c>
      <c r="T26">
        <v>24.7</v>
      </c>
      <c r="U26">
        <v>-43.77</v>
      </c>
      <c r="V26">
        <v>51373.440000000002</v>
      </c>
      <c r="W26" s="1">
        <v>44524</v>
      </c>
      <c r="X26" t="s">
        <v>25</v>
      </c>
    </row>
    <row r="27" spans="1:24" x14ac:dyDescent="0.3">
      <c r="A27" t="s">
        <v>1068</v>
      </c>
      <c r="B27" t="s">
        <v>384</v>
      </c>
      <c r="C27" t="s">
        <v>385</v>
      </c>
      <c r="D27" t="s">
        <v>132</v>
      </c>
      <c r="E27" t="s">
        <v>212</v>
      </c>
      <c r="F27" t="s">
        <v>55</v>
      </c>
      <c r="G27" t="s">
        <v>37</v>
      </c>
      <c r="H27">
        <v>5</v>
      </c>
      <c r="I27" t="s">
        <v>29</v>
      </c>
      <c r="J27" s="1">
        <v>45638</v>
      </c>
      <c r="K27" t="s">
        <v>1069</v>
      </c>
      <c r="L27" t="s">
        <v>1055</v>
      </c>
      <c r="M27">
        <v>22</v>
      </c>
      <c r="N27" t="s">
        <v>1052</v>
      </c>
      <c r="O27">
        <v>8</v>
      </c>
      <c r="P27">
        <v>7.78</v>
      </c>
      <c r="Q27">
        <v>-0.22</v>
      </c>
      <c r="R27">
        <v>21.24</v>
      </c>
      <c r="S27">
        <v>165.25</v>
      </c>
      <c r="T27">
        <v>10.37</v>
      </c>
      <c r="U27">
        <v>82.29</v>
      </c>
      <c r="V27">
        <v>21572.880000000001</v>
      </c>
      <c r="W27" s="1">
        <v>44115</v>
      </c>
      <c r="X27" t="s">
        <v>152</v>
      </c>
    </row>
    <row r="28" spans="1:24" x14ac:dyDescent="0.3">
      <c r="A28" t="s">
        <v>1250</v>
      </c>
      <c r="B28" t="s">
        <v>384</v>
      </c>
      <c r="C28" t="s">
        <v>385</v>
      </c>
      <c r="D28" t="s">
        <v>132</v>
      </c>
      <c r="E28" t="s">
        <v>212</v>
      </c>
      <c r="F28" t="s">
        <v>55</v>
      </c>
      <c r="G28" t="s">
        <v>37</v>
      </c>
      <c r="H28">
        <v>5</v>
      </c>
      <c r="I28" t="s">
        <v>29</v>
      </c>
      <c r="J28" s="1">
        <v>45538</v>
      </c>
      <c r="K28" t="s">
        <v>1057</v>
      </c>
      <c r="L28" t="s">
        <v>1058</v>
      </c>
      <c r="M28">
        <v>6</v>
      </c>
      <c r="N28" t="s">
        <v>1052</v>
      </c>
      <c r="O28">
        <v>8</v>
      </c>
      <c r="P28">
        <v>8.11</v>
      </c>
      <c r="Q28">
        <v>0.11</v>
      </c>
      <c r="R28">
        <v>14.28</v>
      </c>
      <c r="S28">
        <v>115.81</v>
      </c>
      <c r="T28">
        <v>10.37</v>
      </c>
      <c r="U28">
        <v>32.85</v>
      </c>
      <c r="V28">
        <v>21572.880000000001</v>
      </c>
      <c r="W28" s="1">
        <v>44115</v>
      </c>
      <c r="X28" t="s">
        <v>152</v>
      </c>
    </row>
    <row r="29" spans="1:24" x14ac:dyDescent="0.3">
      <c r="A29" t="s">
        <v>1100</v>
      </c>
      <c r="B29" t="s">
        <v>83</v>
      </c>
      <c r="C29" t="s">
        <v>84</v>
      </c>
      <c r="D29" t="s">
        <v>73</v>
      </c>
      <c r="E29" t="s">
        <v>87</v>
      </c>
      <c r="F29" t="s">
        <v>46</v>
      </c>
      <c r="G29" t="s">
        <v>37</v>
      </c>
      <c r="H29">
        <v>6</v>
      </c>
      <c r="I29" t="s">
        <v>58</v>
      </c>
      <c r="J29" s="1">
        <v>45489</v>
      </c>
      <c r="K29" t="s">
        <v>1065</v>
      </c>
      <c r="L29" t="s">
        <v>1058</v>
      </c>
      <c r="M29">
        <v>6</v>
      </c>
      <c r="N29" t="s">
        <v>1063</v>
      </c>
      <c r="O29">
        <v>8</v>
      </c>
      <c r="P29">
        <v>0</v>
      </c>
      <c r="Q29">
        <v>-8</v>
      </c>
      <c r="R29">
        <v>18.68</v>
      </c>
      <c r="S29">
        <v>0</v>
      </c>
      <c r="T29">
        <v>9</v>
      </c>
      <c r="U29">
        <v>-72</v>
      </c>
      <c r="V29">
        <v>18720.64</v>
      </c>
      <c r="W29" s="1">
        <v>43726</v>
      </c>
      <c r="X29" t="s">
        <v>152</v>
      </c>
    </row>
    <row r="30" spans="1:24" x14ac:dyDescent="0.3">
      <c r="A30" t="s">
        <v>1070</v>
      </c>
      <c r="B30" t="s">
        <v>805</v>
      </c>
      <c r="C30" t="s">
        <v>806</v>
      </c>
      <c r="D30" t="s">
        <v>73</v>
      </c>
      <c r="E30" t="s">
        <v>87</v>
      </c>
      <c r="F30" t="s">
        <v>66</v>
      </c>
      <c r="G30" t="s">
        <v>24</v>
      </c>
      <c r="H30">
        <v>3</v>
      </c>
      <c r="I30" t="s">
        <v>58</v>
      </c>
      <c r="J30" s="1">
        <v>45614</v>
      </c>
      <c r="K30" t="s">
        <v>1062</v>
      </c>
      <c r="L30" t="s">
        <v>1058</v>
      </c>
      <c r="M30">
        <v>6</v>
      </c>
      <c r="N30" t="s">
        <v>1052</v>
      </c>
      <c r="O30">
        <v>8</v>
      </c>
      <c r="P30">
        <v>8.1199999999999992</v>
      </c>
      <c r="Q30">
        <v>0.12</v>
      </c>
      <c r="R30">
        <v>25.38</v>
      </c>
      <c r="S30">
        <v>206.09</v>
      </c>
      <c r="T30">
        <v>11.89</v>
      </c>
      <c r="U30">
        <v>110.97</v>
      </c>
      <c r="V30">
        <v>24737.02</v>
      </c>
      <c r="W30" s="1">
        <v>44977</v>
      </c>
      <c r="X30" t="s">
        <v>1071</v>
      </c>
    </row>
    <row r="31" spans="1:24" x14ac:dyDescent="0.3">
      <c r="A31" t="s">
        <v>1072</v>
      </c>
      <c r="B31" t="s">
        <v>90</v>
      </c>
      <c r="C31" t="s">
        <v>91</v>
      </c>
      <c r="D31" t="s">
        <v>95</v>
      </c>
      <c r="E31" t="s">
        <v>96</v>
      </c>
      <c r="F31" t="s">
        <v>23</v>
      </c>
      <c r="G31" t="s">
        <v>97</v>
      </c>
      <c r="H31">
        <v>5</v>
      </c>
      <c r="I31" t="s">
        <v>29</v>
      </c>
      <c r="J31" s="1">
        <v>45501</v>
      </c>
      <c r="K31" t="s">
        <v>1065</v>
      </c>
      <c r="L31" t="s">
        <v>1066</v>
      </c>
      <c r="M31">
        <v>14</v>
      </c>
      <c r="N31" t="s">
        <v>1073</v>
      </c>
      <c r="O31">
        <v>8</v>
      </c>
      <c r="P31">
        <v>0</v>
      </c>
      <c r="Q31">
        <v>-8</v>
      </c>
      <c r="R31">
        <v>14.69</v>
      </c>
      <c r="S31">
        <v>0</v>
      </c>
      <c r="T31">
        <v>15.75</v>
      </c>
      <c r="U31">
        <v>-126</v>
      </c>
      <c r="V31">
        <v>32762.720000000001</v>
      </c>
      <c r="W31" s="1">
        <v>44253</v>
      </c>
      <c r="X31" t="s">
        <v>25</v>
      </c>
    </row>
    <row r="32" spans="1:24" x14ac:dyDescent="0.3">
      <c r="A32" t="s">
        <v>1112</v>
      </c>
      <c r="B32" t="s">
        <v>90</v>
      </c>
      <c r="C32" t="s">
        <v>91</v>
      </c>
      <c r="D32" t="s">
        <v>95</v>
      </c>
      <c r="E32" t="s">
        <v>96</v>
      </c>
      <c r="F32" t="s">
        <v>23</v>
      </c>
      <c r="G32" t="s">
        <v>97</v>
      </c>
      <c r="H32">
        <v>5</v>
      </c>
      <c r="I32" t="s">
        <v>29</v>
      </c>
      <c r="J32" s="1">
        <v>45541</v>
      </c>
      <c r="K32" t="s">
        <v>1057</v>
      </c>
      <c r="L32" t="s">
        <v>1066</v>
      </c>
      <c r="M32">
        <v>14</v>
      </c>
      <c r="N32" t="s">
        <v>1052</v>
      </c>
      <c r="O32">
        <v>8</v>
      </c>
      <c r="P32">
        <v>8.33</v>
      </c>
      <c r="Q32">
        <v>0.33</v>
      </c>
      <c r="R32">
        <v>18.77</v>
      </c>
      <c r="S32">
        <v>156.35</v>
      </c>
      <c r="T32">
        <v>15.75</v>
      </c>
      <c r="U32">
        <v>30.35</v>
      </c>
      <c r="V32">
        <v>32762.720000000001</v>
      </c>
      <c r="W32" s="1">
        <v>44253</v>
      </c>
      <c r="X32" t="s">
        <v>152</v>
      </c>
    </row>
    <row r="33" spans="1:24" x14ac:dyDescent="0.3">
      <c r="A33" t="s">
        <v>1169</v>
      </c>
      <c r="B33" t="s">
        <v>100</v>
      </c>
      <c r="C33" t="s">
        <v>101</v>
      </c>
      <c r="D33" t="s">
        <v>73</v>
      </c>
      <c r="E33" t="s">
        <v>74</v>
      </c>
      <c r="F33" t="s">
        <v>55</v>
      </c>
      <c r="G33" t="s">
        <v>24</v>
      </c>
      <c r="H33">
        <v>1</v>
      </c>
      <c r="I33" t="s">
        <v>58</v>
      </c>
      <c r="J33" s="1">
        <v>45650</v>
      </c>
      <c r="K33" t="s">
        <v>1069</v>
      </c>
      <c r="L33" t="s">
        <v>1066</v>
      </c>
      <c r="M33">
        <v>14</v>
      </c>
      <c r="N33" t="s">
        <v>1052</v>
      </c>
      <c r="O33">
        <v>8</v>
      </c>
      <c r="P33">
        <v>8.18</v>
      </c>
      <c r="Q33">
        <v>0.18</v>
      </c>
      <c r="R33">
        <v>16.29</v>
      </c>
      <c r="S33">
        <v>133.25</v>
      </c>
      <c r="T33">
        <v>23.95</v>
      </c>
      <c r="U33">
        <v>-58.35</v>
      </c>
      <c r="V33">
        <v>49806.51</v>
      </c>
      <c r="W33" s="1">
        <v>45483</v>
      </c>
      <c r="X33" t="s">
        <v>25</v>
      </c>
    </row>
    <row r="34" spans="1:24" x14ac:dyDescent="0.3">
      <c r="A34" t="s">
        <v>1074</v>
      </c>
      <c r="B34" t="s">
        <v>1007</v>
      </c>
      <c r="C34" t="s">
        <v>1008</v>
      </c>
      <c r="D34" t="s">
        <v>118</v>
      </c>
      <c r="E34" t="s">
        <v>218</v>
      </c>
      <c r="F34" t="s">
        <v>23</v>
      </c>
      <c r="G34" t="s">
        <v>47</v>
      </c>
      <c r="H34">
        <v>4</v>
      </c>
      <c r="I34" t="s">
        <v>58</v>
      </c>
      <c r="J34" s="1">
        <v>45568</v>
      </c>
      <c r="K34" t="s">
        <v>1050</v>
      </c>
      <c r="L34" t="s">
        <v>1051</v>
      </c>
      <c r="M34">
        <v>8</v>
      </c>
      <c r="N34" t="s">
        <v>1052</v>
      </c>
      <c r="O34">
        <v>8</v>
      </c>
      <c r="P34">
        <v>8.0500000000000007</v>
      </c>
      <c r="Q34">
        <v>0.05</v>
      </c>
      <c r="R34">
        <v>19.559999999999999</v>
      </c>
      <c r="S34">
        <v>157.46</v>
      </c>
      <c r="T34">
        <v>21.74</v>
      </c>
      <c r="U34">
        <v>-16.46</v>
      </c>
      <c r="V34">
        <v>45229.03</v>
      </c>
      <c r="W34" s="1">
        <v>44638</v>
      </c>
      <c r="X34" t="s">
        <v>25</v>
      </c>
    </row>
    <row r="35" spans="1:24" x14ac:dyDescent="0.3">
      <c r="A35" t="s">
        <v>1226</v>
      </c>
      <c r="B35" t="s">
        <v>1007</v>
      </c>
      <c r="C35" t="s">
        <v>1008</v>
      </c>
      <c r="D35" t="s">
        <v>118</v>
      </c>
      <c r="E35" t="s">
        <v>218</v>
      </c>
      <c r="F35" t="s">
        <v>23</v>
      </c>
      <c r="G35" t="s">
        <v>47</v>
      </c>
      <c r="H35">
        <v>4</v>
      </c>
      <c r="I35" t="s">
        <v>58</v>
      </c>
      <c r="J35" s="1">
        <v>45588</v>
      </c>
      <c r="K35" t="s">
        <v>1050</v>
      </c>
      <c r="L35" t="s">
        <v>1058</v>
      </c>
      <c r="M35">
        <v>6</v>
      </c>
      <c r="N35" t="s">
        <v>1052</v>
      </c>
      <c r="O35">
        <v>8</v>
      </c>
      <c r="P35">
        <v>7.8</v>
      </c>
      <c r="Q35">
        <v>-0.2</v>
      </c>
      <c r="R35">
        <v>27.93</v>
      </c>
      <c r="S35">
        <v>217.85</v>
      </c>
      <c r="T35">
        <v>21.74</v>
      </c>
      <c r="U35">
        <v>43.93</v>
      </c>
      <c r="V35">
        <v>45229.03</v>
      </c>
      <c r="W35" s="1">
        <v>44638</v>
      </c>
      <c r="X35" t="s">
        <v>152</v>
      </c>
    </row>
    <row r="36" spans="1:24" x14ac:dyDescent="0.3">
      <c r="A36" t="s">
        <v>1075</v>
      </c>
      <c r="B36" t="s">
        <v>752</v>
      </c>
      <c r="C36" t="s">
        <v>753</v>
      </c>
      <c r="D36" t="s">
        <v>95</v>
      </c>
      <c r="E36" t="s">
        <v>96</v>
      </c>
      <c r="F36" t="s">
        <v>46</v>
      </c>
      <c r="G36" t="s">
        <v>47</v>
      </c>
      <c r="H36">
        <v>5</v>
      </c>
      <c r="I36" t="s">
        <v>58</v>
      </c>
      <c r="J36" s="1">
        <v>45515</v>
      </c>
      <c r="K36" t="s">
        <v>1054</v>
      </c>
      <c r="L36" t="s">
        <v>1055</v>
      </c>
      <c r="M36">
        <v>22</v>
      </c>
      <c r="N36" t="s">
        <v>1052</v>
      </c>
      <c r="O36">
        <v>8</v>
      </c>
      <c r="P36">
        <v>8.01</v>
      </c>
      <c r="Q36">
        <v>0.01</v>
      </c>
      <c r="R36">
        <v>21.11</v>
      </c>
      <c r="S36">
        <v>169.09</v>
      </c>
      <c r="T36">
        <v>16.059999999999999</v>
      </c>
      <c r="U36">
        <v>40.61</v>
      </c>
      <c r="V36">
        <v>33401.49</v>
      </c>
      <c r="W36" s="1">
        <v>44153</v>
      </c>
      <c r="X36" t="s">
        <v>152</v>
      </c>
    </row>
    <row r="37" spans="1:24" x14ac:dyDescent="0.3">
      <c r="A37" t="s">
        <v>1098</v>
      </c>
      <c r="B37" t="s">
        <v>752</v>
      </c>
      <c r="C37" t="s">
        <v>753</v>
      </c>
      <c r="D37" t="s">
        <v>95</v>
      </c>
      <c r="E37" t="s">
        <v>96</v>
      </c>
      <c r="F37" t="s">
        <v>46</v>
      </c>
      <c r="G37" t="s">
        <v>47</v>
      </c>
      <c r="H37">
        <v>5</v>
      </c>
      <c r="I37" t="s">
        <v>58</v>
      </c>
      <c r="J37" s="1">
        <v>45652</v>
      </c>
      <c r="K37" t="s">
        <v>1069</v>
      </c>
      <c r="L37" t="s">
        <v>1058</v>
      </c>
      <c r="M37">
        <v>6</v>
      </c>
      <c r="N37" t="s">
        <v>1052</v>
      </c>
      <c r="O37">
        <v>8</v>
      </c>
      <c r="P37">
        <v>8.0500000000000007</v>
      </c>
      <c r="Q37">
        <v>0.05</v>
      </c>
      <c r="R37">
        <v>15.09</v>
      </c>
      <c r="S37">
        <v>121.47</v>
      </c>
      <c r="T37">
        <v>16.059999999999999</v>
      </c>
      <c r="U37">
        <v>-7.01</v>
      </c>
      <c r="V37">
        <v>33401.49</v>
      </c>
      <c r="W37" s="1">
        <v>44153</v>
      </c>
      <c r="X37" t="s">
        <v>25</v>
      </c>
    </row>
    <row r="38" spans="1:24" x14ac:dyDescent="0.3">
      <c r="A38" t="s">
        <v>1202</v>
      </c>
      <c r="B38" t="s">
        <v>752</v>
      </c>
      <c r="C38" t="s">
        <v>753</v>
      </c>
      <c r="D38" t="s">
        <v>95</v>
      </c>
      <c r="E38" t="s">
        <v>96</v>
      </c>
      <c r="F38" t="s">
        <v>46</v>
      </c>
      <c r="G38" t="s">
        <v>47</v>
      </c>
      <c r="H38">
        <v>5</v>
      </c>
      <c r="I38" t="s">
        <v>58</v>
      </c>
      <c r="J38" s="1">
        <v>45658</v>
      </c>
      <c r="K38" t="s">
        <v>1203</v>
      </c>
      <c r="L38" t="s">
        <v>1058</v>
      </c>
      <c r="M38">
        <v>6</v>
      </c>
      <c r="N38" t="s">
        <v>1052</v>
      </c>
      <c r="O38">
        <v>8</v>
      </c>
      <c r="P38">
        <v>8.17</v>
      </c>
      <c r="Q38">
        <v>0.17</v>
      </c>
      <c r="R38">
        <v>25.57</v>
      </c>
      <c r="S38">
        <v>208.91</v>
      </c>
      <c r="T38">
        <v>16.059999999999999</v>
      </c>
      <c r="U38">
        <v>80.430000000000007</v>
      </c>
      <c r="V38">
        <v>33401.49</v>
      </c>
      <c r="W38" s="1">
        <v>44153</v>
      </c>
      <c r="X38" t="s">
        <v>25</v>
      </c>
    </row>
    <row r="39" spans="1:24" x14ac:dyDescent="0.3">
      <c r="A39" t="s">
        <v>1122</v>
      </c>
      <c r="B39" t="s">
        <v>114</v>
      </c>
      <c r="C39" t="s">
        <v>115</v>
      </c>
      <c r="D39" t="s">
        <v>118</v>
      </c>
      <c r="E39" t="s">
        <v>119</v>
      </c>
      <c r="F39" t="s">
        <v>55</v>
      </c>
      <c r="G39" t="s">
        <v>24</v>
      </c>
      <c r="H39">
        <v>4</v>
      </c>
      <c r="I39" t="s">
        <v>58</v>
      </c>
      <c r="J39" s="1">
        <v>45613</v>
      </c>
      <c r="K39" t="s">
        <v>1062</v>
      </c>
      <c r="L39" t="s">
        <v>1066</v>
      </c>
      <c r="M39">
        <v>14</v>
      </c>
      <c r="N39" t="s">
        <v>1052</v>
      </c>
      <c r="O39">
        <v>8</v>
      </c>
      <c r="P39">
        <v>7.77</v>
      </c>
      <c r="Q39">
        <v>-0.23</v>
      </c>
      <c r="R39">
        <v>13.85</v>
      </c>
      <c r="S39">
        <v>107.61</v>
      </c>
      <c r="T39">
        <v>20.25</v>
      </c>
      <c r="U39">
        <v>-54.39</v>
      </c>
      <c r="V39">
        <v>42129.36</v>
      </c>
      <c r="W39" s="1">
        <v>44521</v>
      </c>
      <c r="X39" t="s">
        <v>152</v>
      </c>
    </row>
    <row r="40" spans="1:24" x14ac:dyDescent="0.3">
      <c r="A40" t="s">
        <v>1076</v>
      </c>
      <c r="B40" t="s">
        <v>781</v>
      </c>
      <c r="C40" t="s">
        <v>782</v>
      </c>
      <c r="D40" t="s">
        <v>73</v>
      </c>
      <c r="E40" t="s">
        <v>424</v>
      </c>
      <c r="F40" t="s">
        <v>55</v>
      </c>
      <c r="G40" t="s">
        <v>47</v>
      </c>
      <c r="H40">
        <v>3</v>
      </c>
      <c r="I40" t="s">
        <v>58</v>
      </c>
      <c r="J40" s="1">
        <v>45592</v>
      </c>
      <c r="K40" t="s">
        <v>1050</v>
      </c>
      <c r="L40" t="s">
        <v>1058</v>
      </c>
      <c r="M40">
        <v>6</v>
      </c>
      <c r="N40" t="s">
        <v>1073</v>
      </c>
      <c r="O40">
        <v>8</v>
      </c>
      <c r="P40">
        <v>0</v>
      </c>
      <c r="Q40">
        <v>-8</v>
      </c>
      <c r="R40">
        <v>20.28</v>
      </c>
      <c r="S40">
        <v>0</v>
      </c>
      <c r="T40">
        <v>25.09</v>
      </c>
      <c r="U40">
        <v>-200.72</v>
      </c>
      <c r="V40">
        <v>52192.87</v>
      </c>
      <c r="W40" s="1">
        <v>44741</v>
      </c>
      <c r="X40" t="s">
        <v>152</v>
      </c>
    </row>
    <row r="41" spans="1:24" x14ac:dyDescent="0.3">
      <c r="A41" t="s">
        <v>1084</v>
      </c>
      <c r="B41" t="s">
        <v>781</v>
      </c>
      <c r="C41" t="s">
        <v>782</v>
      </c>
      <c r="D41" t="s">
        <v>73</v>
      </c>
      <c r="E41" t="s">
        <v>424</v>
      </c>
      <c r="F41" t="s">
        <v>55</v>
      </c>
      <c r="G41" t="s">
        <v>47</v>
      </c>
      <c r="H41">
        <v>3</v>
      </c>
      <c r="I41" t="s">
        <v>58</v>
      </c>
      <c r="J41" s="1">
        <v>45533</v>
      </c>
      <c r="K41" t="s">
        <v>1054</v>
      </c>
      <c r="L41" t="s">
        <v>1055</v>
      </c>
      <c r="M41">
        <v>22</v>
      </c>
      <c r="N41" t="s">
        <v>1073</v>
      </c>
      <c r="O41">
        <v>8</v>
      </c>
      <c r="P41">
        <v>0</v>
      </c>
      <c r="Q41">
        <v>-8</v>
      </c>
      <c r="R41">
        <v>17.46</v>
      </c>
      <c r="S41">
        <v>0</v>
      </c>
      <c r="T41">
        <v>25.09</v>
      </c>
      <c r="U41">
        <v>-200.72</v>
      </c>
      <c r="V41">
        <v>52192.87</v>
      </c>
      <c r="W41" s="1">
        <v>44741</v>
      </c>
      <c r="X41" t="s">
        <v>25</v>
      </c>
    </row>
    <row r="42" spans="1:24" x14ac:dyDescent="0.3">
      <c r="A42" t="s">
        <v>1134</v>
      </c>
      <c r="B42" t="s">
        <v>781</v>
      </c>
      <c r="C42" t="s">
        <v>782</v>
      </c>
      <c r="D42" t="s">
        <v>73</v>
      </c>
      <c r="E42" t="s">
        <v>424</v>
      </c>
      <c r="F42" t="s">
        <v>55</v>
      </c>
      <c r="G42" t="s">
        <v>47</v>
      </c>
      <c r="H42">
        <v>3</v>
      </c>
      <c r="I42" t="s">
        <v>58</v>
      </c>
      <c r="J42" s="1">
        <v>45638</v>
      </c>
      <c r="K42" t="s">
        <v>1069</v>
      </c>
      <c r="L42" t="s">
        <v>1051</v>
      </c>
      <c r="M42">
        <v>8</v>
      </c>
      <c r="N42" t="s">
        <v>1052</v>
      </c>
      <c r="O42">
        <v>8</v>
      </c>
      <c r="P42">
        <v>7.79</v>
      </c>
      <c r="Q42">
        <v>-0.21</v>
      </c>
      <c r="R42">
        <v>25.9</v>
      </c>
      <c r="S42">
        <v>201.76</v>
      </c>
      <c r="T42">
        <v>25.09</v>
      </c>
      <c r="U42">
        <v>1.04</v>
      </c>
      <c r="V42">
        <v>52192.87</v>
      </c>
      <c r="W42" s="1">
        <v>44741</v>
      </c>
      <c r="X42" t="s">
        <v>152</v>
      </c>
    </row>
    <row r="43" spans="1:24" x14ac:dyDescent="0.3">
      <c r="A43" t="s">
        <v>1137</v>
      </c>
      <c r="B43" t="s">
        <v>781</v>
      </c>
      <c r="C43" t="s">
        <v>782</v>
      </c>
      <c r="D43" t="s">
        <v>73</v>
      </c>
      <c r="E43" t="s">
        <v>424</v>
      </c>
      <c r="F43" t="s">
        <v>55</v>
      </c>
      <c r="G43" t="s">
        <v>47</v>
      </c>
      <c r="H43">
        <v>3</v>
      </c>
      <c r="I43" t="s">
        <v>58</v>
      </c>
      <c r="J43" s="1">
        <v>45602</v>
      </c>
      <c r="K43" t="s">
        <v>1062</v>
      </c>
      <c r="L43" t="s">
        <v>1058</v>
      </c>
      <c r="M43">
        <v>6</v>
      </c>
      <c r="N43" t="s">
        <v>1060</v>
      </c>
      <c r="O43">
        <v>8</v>
      </c>
      <c r="P43">
        <v>6.92</v>
      </c>
      <c r="Q43">
        <v>-1.08</v>
      </c>
      <c r="R43">
        <v>12.81</v>
      </c>
      <c r="S43">
        <v>88.65</v>
      </c>
      <c r="T43">
        <v>25.09</v>
      </c>
      <c r="U43">
        <v>-112.07</v>
      </c>
      <c r="V43">
        <v>52192.87</v>
      </c>
      <c r="W43" s="1">
        <v>44741</v>
      </c>
      <c r="X43" t="s">
        <v>152</v>
      </c>
    </row>
    <row r="44" spans="1:24" x14ac:dyDescent="0.3">
      <c r="A44" t="s">
        <v>1140</v>
      </c>
      <c r="B44" t="s">
        <v>781</v>
      </c>
      <c r="C44" t="s">
        <v>782</v>
      </c>
      <c r="D44" t="s">
        <v>73</v>
      </c>
      <c r="E44" t="s">
        <v>424</v>
      </c>
      <c r="F44" t="s">
        <v>55</v>
      </c>
      <c r="G44" t="s">
        <v>47</v>
      </c>
      <c r="H44">
        <v>3</v>
      </c>
      <c r="I44" t="s">
        <v>58</v>
      </c>
      <c r="J44" s="1">
        <v>45630</v>
      </c>
      <c r="K44" t="s">
        <v>1069</v>
      </c>
      <c r="L44" t="s">
        <v>1058</v>
      </c>
      <c r="M44">
        <v>6</v>
      </c>
      <c r="N44" t="s">
        <v>1052</v>
      </c>
      <c r="O44">
        <v>8</v>
      </c>
      <c r="P44">
        <v>8.06</v>
      </c>
      <c r="Q44">
        <v>0.06</v>
      </c>
      <c r="R44">
        <v>13.83</v>
      </c>
      <c r="S44">
        <v>111.47</v>
      </c>
      <c r="T44">
        <v>25.09</v>
      </c>
      <c r="U44">
        <v>-89.25</v>
      </c>
      <c r="V44">
        <v>52192.87</v>
      </c>
      <c r="W44" s="1">
        <v>44741</v>
      </c>
      <c r="X44" t="s">
        <v>25</v>
      </c>
    </row>
    <row r="45" spans="1:24" x14ac:dyDescent="0.3">
      <c r="A45" t="s">
        <v>1230</v>
      </c>
      <c r="B45" t="s">
        <v>781</v>
      </c>
      <c r="C45" t="s">
        <v>782</v>
      </c>
      <c r="D45" t="s">
        <v>73</v>
      </c>
      <c r="E45" t="s">
        <v>424</v>
      </c>
      <c r="F45" t="s">
        <v>55</v>
      </c>
      <c r="G45" t="s">
        <v>47</v>
      </c>
      <c r="H45">
        <v>3</v>
      </c>
      <c r="I45" t="s">
        <v>58</v>
      </c>
      <c r="J45" s="1">
        <v>45527</v>
      </c>
      <c r="K45" t="s">
        <v>1054</v>
      </c>
      <c r="L45" t="s">
        <v>1058</v>
      </c>
      <c r="M45">
        <v>6</v>
      </c>
      <c r="N45" t="s">
        <v>1052</v>
      </c>
      <c r="O45">
        <v>8</v>
      </c>
      <c r="P45">
        <v>8.4499999999999993</v>
      </c>
      <c r="Q45">
        <v>0.45</v>
      </c>
      <c r="R45">
        <v>18.13</v>
      </c>
      <c r="S45">
        <v>153.19999999999999</v>
      </c>
      <c r="T45">
        <v>25.09</v>
      </c>
      <c r="U45">
        <v>-47.52</v>
      </c>
      <c r="V45">
        <v>52192.87</v>
      </c>
      <c r="W45" s="1">
        <v>44741</v>
      </c>
      <c r="X45" t="s">
        <v>25</v>
      </c>
    </row>
    <row r="46" spans="1:24" x14ac:dyDescent="0.3">
      <c r="A46" t="s">
        <v>1138</v>
      </c>
      <c r="B46" t="s">
        <v>122</v>
      </c>
      <c r="C46" t="s">
        <v>123</v>
      </c>
      <c r="D46" t="s">
        <v>35</v>
      </c>
      <c r="E46" t="s">
        <v>125</v>
      </c>
      <c r="F46" t="s">
        <v>66</v>
      </c>
      <c r="G46" t="s">
        <v>47</v>
      </c>
      <c r="H46">
        <v>2</v>
      </c>
      <c r="I46" t="s">
        <v>29</v>
      </c>
      <c r="J46" s="1">
        <v>45591</v>
      </c>
      <c r="K46" t="s">
        <v>1050</v>
      </c>
      <c r="L46" t="s">
        <v>1051</v>
      </c>
      <c r="M46">
        <v>8</v>
      </c>
      <c r="N46" t="s">
        <v>1052</v>
      </c>
      <c r="O46">
        <v>8</v>
      </c>
      <c r="P46">
        <v>8.0500000000000007</v>
      </c>
      <c r="Q46">
        <v>0.05</v>
      </c>
      <c r="R46">
        <v>23.84</v>
      </c>
      <c r="S46">
        <v>191.91</v>
      </c>
      <c r="T46">
        <v>12.03</v>
      </c>
      <c r="U46">
        <v>95.67</v>
      </c>
      <c r="V46">
        <v>25026.22</v>
      </c>
      <c r="W46" s="1">
        <v>45183</v>
      </c>
      <c r="X46" t="s">
        <v>1071</v>
      </c>
    </row>
    <row r="47" spans="1:24" x14ac:dyDescent="0.3">
      <c r="A47" t="s">
        <v>1190</v>
      </c>
      <c r="B47" t="s">
        <v>122</v>
      </c>
      <c r="C47" t="s">
        <v>123</v>
      </c>
      <c r="D47" t="s">
        <v>35</v>
      </c>
      <c r="E47" t="s">
        <v>125</v>
      </c>
      <c r="F47" t="s">
        <v>66</v>
      </c>
      <c r="G47" t="s">
        <v>47</v>
      </c>
      <c r="H47">
        <v>2</v>
      </c>
      <c r="I47" t="s">
        <v>29</v>
      </c>
      <c r="J47" s="1">
        <v>45560</v>
      </c>
      <c r="K47" t="s">
        <v>1057</v>
      </c>
      <c r="L47" t="s">
        <v>1058</v>
      </c>
      <c r="M47">
        <v>6</v>
      </c>
      <c r="N47" t="s">
        <v>1052</v>
      </c>
      <c r="O47">
        <v>8</v>
      </c>
      <c r="P47">
        <v>7.81</v>
      </c>
      <c r="Q47">
        <v>-0.19</v>
      </c>
      <c r="R47">
        <v>22.83</v>
      </c>
      <c r="S47">
        <v>178.3</v>
      </c>
      <c r="T47">
        <v>12.03</v>
      </c>
      <c r="U47">
        <v>82.06</v>
      </c>
      <c r="V47">
        <v>25026.22</v>
      </c>
      <c r="W47" s="1">
        <v>45183</v>
      </c>
      <c r="X47" t="s">
        <v>152</v>
      </c>
    </row>
    <row r="48" spans="1:24" x14ac:dyDescent="0.3">
      <c r="A48" t="s">
        <v>1077</v>
      </c>
      <c r="B48" t="s">
        <v>245</v>
      </c>
      <c r="C48" t="s">
        <v>246</v>
      </c>
      <c r="D48" t="s">
        <v>224</v>
      </c>
      <c r="E48" t="s">
        <v>225</v>
      </c>
      <c r="F48" t="s">
        <v>23</v>
      </c>
      <c r="G48" t="s">
        <v>97</v>
      </c>
      <c r="H48">
        <v>6</v>
      </c>
      <c r="I48" t="s">
        <v>58</v>
      </c>
      <c r="J48" s="1">
        <v>45521</v>
      </c>
      <c r="K48" t="s">
        <v>1054</v>
      </c>
      <c r="L48" t="s">
        <v>1055</v>
      </c>
      <c r="M48">
        <v>22</v>
      </c>
      <c r="N48" t="s">
        <v>1052</v>
      </c>
      <c r="O48">
        <v>8</v>
      </c>
      <c r="P48">
        <v>8.35</v>
      </c>
      <c r="Q48">
        <v>0.35</v>
      </c>
      <c r="R48">
        <v>27.41</v>
      </c>
      <c r="S48">
        <v>228.87</v>
      </c>
      <c r="T48">
        <v>19.61</v>
      </c>
      <c r="U48">
        <v>71.989999999999995</v>
      </c>
      <c r="V48">
        <v>40788.76</v>
      </c>
      <c r="W48" s="1">
        <v>43745</v>
      </c>
      <c r="X48" t="s">
        <v>152</v>
      </c>
    </row>
    <row r="49" spans="1:24" x14ac:dyDescent="0.3">
      <c r="A49" t="s">
        <v>1078</v>
      </c>
      <c r="B49" t="s">
        <v>983</v>
      </c>
      <c r="C49" t="s">
        <v>984</v>
      </c>
      <c r="D49" t="s">
        <v>22</v>
      </c>
      <c r="E49" t="s">
        <v>22</v>
      </c>
      <c r="F49" t="s">
        <v>66</v>
      </c>
      <c r="G49" t="s">
        <v>97</v>
      </c>
      <c r="H49">
        <v>2</v>
      </c>
      <c r="I49" t="s">
        <v>58</v>
      </c>
      <c r="J49" s="1">
        <v>45541</v>
      </c>
      <c r="K49" t="s">
        <v>1057</v>
      </c>
      <c r="L49" t="s">
        <v>1055</v>
      </c>
      <c r="M49">
        <v>22</v>
      </c>
      <c r="N49" t="s">
        <v>1052</v>
      </c>
      <c r="O49">
        <v>8</v>
      </c>
      <c r="P49">
        <v>8.1</v>
      </c>
      <c r="Q49">
        <v>0.1</v>
      </c>
      <c r="R49">
        <v>18.93</v>
      </c>
      <c r="S49">
        <v>153.33000000000001</v>
      </c>
      <c r="T49">
        <v>25.73</v>
      </c>
      <c r="U49">
        <v>-52.51</v>
      </c>
      <c r="V49">
        <v>53524.97</v>
      </c>
      <c r="W49" s="1">
        <v>45333</v>
      </c>
      <c r="X49" t="s">
        <v>25</v>
      </c>
    </row>
    <row r="50" spans="1:24" x14ac:dyDescent="0.3">
      <c r="A50" t="s">
        <v>1218</v>
      </c>
      <c r="B50" t="s">
        <v>983</v>
      </c>
      <c r="C50" t="s">
        <v>984</v>
      </c>
      <c r="D50" t="s">
        <v>22</v>
      </c>
      <c r="E50" t="s">
        <v>22</v>
      </c>
      <c r="F50" t="s">
        <v>66</v>
      </c>
      <c r="G50" t="s">
        <v>97</v>
      </c>
      <c r="H50">
        <v>2</v>
      </c>
      <c r="I50" t="s">
        <v>58</v>
      </c>
      <c r="J50" s="1">
        <v>45645</v>
      </c>
      <c r="K50" t="s">
        <v>1069</v>
      </c>
      <c r="L50" t="s">
        <v>1058</v>
      </c>
      <c r="M50">
        <v>6</v>
      </c>
      <c r="N50" t="s">
        <v>1073</v>
      </c>
      <c r="O50">
        <v>8</v>
      </c>
      <c r="P50">
        <v>0</v>
      </c>
      <c r="Q50">
        <v>-8</v>
      </c>
      <c r="R50">
        <v>18.829999999999998</v>
      </c>
      <c r="S50">
        <v>0</v>
      </c>
      <c r="T50">
        <v>25.73</v>
      </c>
      <c r="U50">
        <v>-205.84</v>
      </c>
      <c r="V50">
        <v>53524.97</v>
      </c>
      <c r="W50" s="1">
        <v>45333</v>
      </c>
      <c r="X50" t="s">
        <v>1071</v>
      </c>
    </row>
    <row r="51" spans="1:24" x14ac:dyDescent="0.3">
      <c r="A51" t="s">
        <v>1275</v>
      </c>
      <c r="B51" t="s">
        <v>983</v>
      </c>
      <c r="C51" t="s">
        <v>984</v>
      </c>
      <c r="D51" t="s">
        <v>22</v>
      </c>
      <c r="E51" t="s">
        <v>22</v>
      </c>
      <c r="F51" t="s">
        <v>66</v>
      </c>
      <c r="G51" t="s">
        <v>97</v>
      </c>
      <c r="H51">
        <v>2</v>
      </c>
      <c r="I51" t="s">
        <v>58</v>
      </c>
      <c r="J51" s="1">
        <v>45514</v>
      </c>
      <c r="K51" t="s">
        <v>1054</v>
      </c>
      <c r="L51" t="s">
        <v>1066</v>
      </c>
      <c r="M51">
        <v>14</v>
      </c>
      <c r="N51" t="s">
        <v>1052</v>
      </c>
      <c r="O51">
        <v>8</v>
      </c>
      <c r="P51">
        <v>8.43</v>
      </c>
      <c r="Q51">
        <v>0.43</v>
      </c>
      <c r="R51">
        <v>22.56</v>
      </c>
      <c r="S51">
        <v>190.18</v>
      </c>
      <c r="T51">
        <v>25.73</v>
      </c>
      <c r="U51">
        <v>-15.66</v>
      </c>
      <c r="V51">
        <v>53524.97</v>
      </c>
      <c r="W51" s="1">
        <v>45333</v>
      </c>
      <c r="X51" t="s">
        <v>152</v>
      </c>
    </row>
    <row r="52" spans="1:24" x14ac:dyDescent="0.3">
      <c r="A52" t="s">
        <v>1261</v>
      </c>
      <c r="B52" t="s">
        <v>136</v>
      </c>
      <c r="C52" t="s">
        <v>137</v>
      </c>
      <c r="D52" t="s">
        <v>35</v>
      </c>
      <c r="E52" t="s">
        <v>125</v>
      </c>
      <c r="F52" t="s">
        <v>46</v>
      </c>
      <c r="G52" t="s">
        <v>24</v>
      </c>
      <c r="H52">
        <v>4</v>
      </c>
      <c r="I52" t="s">
        <v>29</v>
      </c>
      <c r="J52" s="1">
        <v>45645</v>
      </c>
      <c r="K52" t="s">
        <v>1069</v>
      </c>
      <c r="L52" t="s">
        <v>1055</v>
      </c>
      <c r="M52">
        <v>22</v>
      </c>
      <c r="N52" t="s">
        <v>1052</v>
      </c>
      <c r="O52">
        <v>8</v>
      </c>
      <c r="P52">
        <v>8.0399999999999991</v>
      </c>
      <c r="Q52">
        <v>0.04</v>
      </c>
      <c r="R52">
        <v>16.899999999999999</v>
      </c>
      <c r="S52">
        <v>135.88</v>
      </c>
      <c r="T52">
        <v>8.82</v>
      </c>
      <c r="U52">
        <v>65.319999999999993</v>
      </c>
      <c r="V52">
        <v>18344.669999999998</v>
      </c>
      <c r="W52" s="1">
        <v>44356</v>
      </c>
      <c r="X52" t="s">
        <v>1071</v>
      </c>
    </row>
    <row r="53" spans="1:24" x14ac:dyDescent="0.3">
      <c r="A53" t="s">
        <v>1079</v>
      </c>
      <c r="B53" t="s">
        <v>1015</v>
      </c>
      <c r="C53" t="s">
        <v>1016</v>
      </c>
      <c r="D53" t="s">
        <v>95</v>
      </c>
      <c r="E53" t="s">
        <v>111</v>
      </c>
      <c r="F53" t="s">
        <v>46</v>
      </c>
      <c r="G53" t="s">
        <v>37</v>
      </c>
      <c r="H53">
        <v>6</v>
      </c>
      <c r="I53" t="s">
        <v>29</v>
      </c>
      <c r="J53" s="1">
        <v>45485</v>
      </c>
      <c r="K53" t="s">
        <v>1065</v>
      </c>
      <c r="L53" t="s">
        <v>1066</v>
      </c>
      <c r="M53">
        <v>14</v>
      </c>
      <c r="N53" t="s">
        <v>1052</v>
      </c>
      <c r="O53">
        <v>8</v>
      </c>
      <c r="P53">
        <v>7.92</v>
      </c>
      <c r="Q53">
        <v>-0.08</v>
      </c>
      <c r="R53">
        <v>27.22</v>
      </c>
      <c r="S53">
        <v>215.58</v>
      </c>
      <c r="T53">
        <v>22.75</v>
      </c>
      <c r="U53">
        <v>33.58</v>
      </c>
      <c r="V53">
        <v>47328.33</v>
      </c>
      <c r="W53" s="1">
        <v>43812</v>
      </c>
      <c r="X53" t="s">
        <v>1071</v>
      </c>
    </row>
    <row r="54" spans="1:24" x14ac:dyDescent="0.3">
      <c r="A54" t="s">
        <v>1117</v>
      </c>
      <c r="B54" t="s">
        <v>1015</v>
      </c>
      <c r="C54" t="s">
        <v>1016</v>
      </c>
      <c r="D54" t="s">
        <v>95</v>
      </c>
      <c r="E54" t="s">
        <v>111</v>
      </c>
      <c r="F54" t="s">
        <v>46</v>
      </c>
      <c r="G54" t="s">
        <v>37</v>
      </c>
      <c r="H54">
        <v>6</v>
      </c>
      <c r="I54" t="s">
        <v>29</v>
      </c>
      <c r="J54" s="1">
        <v>45546</v>
      </c>
      <c r="K54" t="s">
        <v>1057</v>
      </c>
      <c r="L54" t="s">
        <v>1055</v>
      </c>
      <c r="M54">
        <v>22</v>
      </c>
      <c r="N54" t="s">
        <v>1052</v>
      </c>
      <c r="O54">
        <v>8</v>
      </c>
      <c r="P54">
        <v>7.89</v>
      </c>
      <c r="Q54">
        <v>-0.11</v>
      </c>
      <c r="R54">
        <v>23.18</v>
      </c>
      <c r="S54">
        <v>182.89</v>
      </c>
      <c r="T54">
        <v>22.75</v>
      </c>
      <c r="U54">
        <v>0.89</v>
      </c>
      <c r="V54">
        <v>47328.33</v>
      </c>
      <c r="W54" s="1">
        <v>43812</v>
      </c>
      <c r="X54" t="s">
        <v>25</v>
      </c>
    </row>
    <row r="55" spans="1:24" x14ac:dyDescent="0.3">
      <c r="A55" t="s">
        <v>1207</v>
      </c>
      <c r="B55" t="s">
        <v>1015</v>
      </c>
      <c r="C55" t="s">
        <v>1016</v>
      </c>
      <c r="D55" t="s">
        <v>95</v>
      </c>
      <c r="E55" t="s">
        <v>111</v>
      </c>
      <c r="F55" t="s">
        <v>46</v>
      </c>
      <c r="G55" t="s">
        <v>37</v>
      </c>
      <c r="H55">
        <v>6</v>
      </c>
      <c r="I55" t="s">
        <v>29</v>
      </c>
      <c r="J55" s="1">
        <v>45499</v>
      </c>
      <c r="K55" t="s">
        <v>1065</v>
      </c>
      <c r="L55" t="s">
        <v>1051</v>
      </c>
      <c r="M55">
        <v>8</v>
      </c>
      <c r="N55" t="s">
        <v>1073</v>
      </c>
      <c r="O55">
        <v>8</v>
      </c>
      <c r="P55">
        <v>0</v>
      </c>
      <c r="Q55">
        <v>-8</v>
      </c>
      <c r="R55">
        <v>20.16</v>
      </c>
      <c r="S55">
        <v>0</v>
      </c>
      <c r="T55">
        <v>22.75</v>
      </c>
      <c r="U55">
        <v>-182</v>
      </c>
      <c r="V55">
        <v>47328.33</v>
      </c>
      <c r="W55" s="1">
        <v>43812</v>
      </c>
      <c r="X55" t="s">
        <v>152</v>
      </c>
    </row>
    <row r="56" spans="1:24" x14ac:dyDescent="0.3">
      <c r="A56" t="s">
        <v>1145</v>
      </c>
      <c r="B56" t="s">
        <v>142</v>
      </c>
      <c r="C56" t="s">
        <v>143</v>
      </c>
      <c r="D56" t="s">
        <v>35</v>
      </c>
      <c r="E56" t="s">
        <v>45</v>
      </c>
      <c r="F56" t="s">
        <v>55</v>
      </c>
      <c r="G56" t="s">
        <v>97</v>
      </c>
      <c r="H56">
        <v>1</v>
      </c>
      <c r="I56" t="s">
        <v>58</v>
      </c>
      <c r="J56" s="1">
        <v>45607</v>
      </c>
      <c r="K56" t="s">
        <v>1062</v>
      </c>
      <c r="L56" t="s">
        <v>1055</v>
      </c>
      <c r="M56">
        <v>22</v>
      </c>
      <c r="N56" t="s">
        <v>1052</v>
      </c>
      <c r="O56">
        <v>8</v>
      </c>
      <c r="P56">
        <v>8.27</v>
      </c>
      <c r="Q56">
        <v>0.27</v>
      </c>
      <c r="R56">
        <v>18.64</v>
      </c>
      <c r="S56">
        <v>154.15</v>
      </c>
      <c r="T56">
        <v>25.23</v>
      </c>
      <c r="U56">
        <v>-47.69</v>
      </c>
      <c r="V56">
        <v>52474.97</v>
      </c>
      <c r="W56" s="1">
        <v>45416</v>
      </c>
      <c r="X56" t="s">
        <v>25</v>
      </c>
    </row>
    <row r="57" spans="1:24" x14ac:dyDescent="0.3">
      <c r="A57" t="s">
        <v>1252</v>
      </c>
      <c r="B57" t="s">
        <v>142</v>
      </c>
      <c r="C57" t="s">
        <v>143</v>
      </c>
      <c r="D57" t="s">
        <v>35</v>
      </c>
      <c r="E57" t="s">
        <v>45</v>
      </c>
      <c r="F57" t="s">
        <v>55</v>
      </c>
      <c r="G57" t="s">
        <v>97</v>
      </c>
      <c r="H57">
        <v>1</v>
      </c>
      <c r="I57" t="s">
        <v>58</v>
      </c>
      <c r="J57" s="1">
        <v>45624</v>
      </c>
      <c r="K57" t="s">
        <v>1062</v>
      </c>
      <c r="L57" t="s">
        <v>1055</v>
      </c>
      <c r="M57">
        <v>22</v>
      </c>
      <c r="N57" t="s">
        <v>1052</v>
      </c>
      <c r="O57">
        <v>8</v>
      </c>
      <c r="P57">
        <v>8.39</v>
      </c>
      <c r="Q57">
        <v>0.39</v>
      </c>
      <c r="R57">
        <v>13.5</v>
      </c>
      <c r="S57">
        <v>113.26</v>
      </c>
      <c r="T57">
        <v>25.23</v>
      </c>
      <c r="U57">
        <v>-88.58</v>
      </c>
      <c r="V57">
        <v>52474.97</v>
      </c>
      <c r="W57" s="1">
        <v>45416</v>
      </c>
      <c r="X57" t="s">
        <v>25</v>
      </c>
    </row>
    <row r="58" spans="1:24" x14ac:dyDescent="0.3">
      <c r="A58" t="s">
        <v>1080</v>
      </c>
      <c r="B58" t="s">
        <v>422</v>
      </c>
      <c r="C58" t="s">
        <v>423</v>
      </c>
      <c r="D58" t="s">
        <v>73</v>
      </c>
      <c r="E58" t="s">
        <v>424</v>
      </c>
      <c r="F58" t="s">
        <v>23</v>
      </c>
      <c r="G58" t="s">
        <v>97</v>
      </c>
      <c r="H58">
        <v>4</v>
      </c>
      <c r="I58" t="s">
        <v>58</v>
      </c>
      <c r="J58" s="1">
        <v>45635</v>
      </c>
      <c r="K58" t="s">
        <v>1069</v>
      </c>
      <c r="L58" t="s">
        <v>1055</v>
      </c>
      <c r="M58">
        <v>22</v>
      </c>
      <c r="N58" t="s">
        <v>1060</v>
      </c>
      <c r="O58">
        <v>8</v>
      </c>
      <c r="P58">
        <v>6.15</v>
      </c>
      <c r="Q58">
        <v>-1.85</v>
      </c>
      <c r="R58">
        <v>20.2</v>
      </c>
      <c r="S58">
        <v>124.23</v>
      </c>
      <c r="T58">
        <v>19.420000000000002</v>
      </c>
      <c r="U58">
        <v>-31.13</v>
      </c>
      <c r="V58">
        <v>40385.22</v>
      </c>
      <c r="W58" s="1">
        <v>44602</v>
      </c>
      <c r="X58" t="s">
        <v>152</v>
      </c>
    </row>
    <row r="59" spans="1:24" x14ac:dyDescent="0.3">
      <c r="A59" t="s">
        <v>1081</v>
      </c>
      <c r="B59" t="s">
        <v>380</v>
      </c>
      <c r="C59" t="s">
        <v>381</v>
      </c>
      <c r="D59" t="s">
        <v>95</v>
      </c>
      <c r="E59" t="s">
        <v>96</v>
      </c>
      <c r="F59" t="s">
        <v>55</v>
      </c>
      <c r="G59" t="s">
        <v>47</v>
      </c>
      <c r="H59">
        <v>6</v>
      </c>
      <c r="I59" t="s">
        <v>58</v>
      </c>
      <c r="J59" s="1">
        <v>45612</v>
      </c>
      <c r="K59" t="s">
        <v>1062</v>
      </c>
      <c r="L59" t="s">
        <v>1055</v>
      </c>
      <c r="M59">
        <v>22</v>
      </c>
      <c r="N59" t="s">
        <v>1052</v>
      </c>
      <c r="O59">
        <v>8</v>
      </c>
      <c r="P59">
        <v>8.26</v>
      </c>
      <c r="Q59">
        <v>0.26</v>
      </c>
      <c r="R59">
        <v>23.4</v>
      </c>
      <c r="S59">
        <v>193.28</v>
      </c>
      <c r="T59">
        <v>16.3</v>
      </c>
      <c r="U59">
        <v>62.88</v>
      </c>
      <c r="V59">
        <v>33912.589999999997</v>
      </c>
      <c r="W59" s="1">
        <v>43810</v>
      </c>
      <c r="X59" t="s">
        <v>25</v>
      </c>
    </row>
    <row r="60" spans="1:24" x14ac:dyDescent="0.3">
      <c r="A60" t="s">
        <v>1133</v>
      </c>
      <c r="B60" t="s">
        <v>380</v>
      </c>
      <c r="C60" t="s">
        <v>381</v>
      </c>
      <c r="D60" t="s">
        <v>95</v>
      </c>
      <c r="E60" t="s">
        <v>96</v>
      </c>
      <c r="F60" t="s">
        <v>55</v>
      </c>
      <c r="G60" t="s">
        <v>47</v>
      </c>
      <c r="H60">
        <v>6</v>
      </c>
      <c r="I60" t="s">
        <v>58</v>
      </c>
      <c r="J60" s="1">
        <v>45575</v>
      </c>
      <c r="K60" t="s">
        <v>1050</v>
      </c>
      <c r="L60" t="s">
        <v>1058</v>
      </c>
      <c r="M60">
        <v>6</v>
      </c>
      <c r="N60" t="s">
        <v>1052</v>
      </c>
      <c r="O60">
        <v>8</v>
      </c>
      <c r="P60">
        <v>8.11</v>
      </c>
      <c r="Q60">
        <v>0.11</v>
      </c>
      <c r="R60">
        <v>20.92</v>
      </c>
      <c r="S60">
        <v>169.66</v>
      </c>
      <c r="T60">
        <v>16.3</v>
      </c>
      <c r="U60">
        <v>39.26</v>
      </c>
      <c r="V60">
        <v>33912.589999999997</v>
      </c>
      <c r="W60" s="1">
        <v>43810</v>
      </c>
      <c r="X60" t="s">
        <v>25</v>
      </c>
    </row>
    <row r="61" spans="1:24" x14ac:dyDescent="0.3">
      <c r="A61" t="s">
        <v>1254</v>
      </c>
      <c r="B61" t="s">
        <v>380</v>
      </c>
      <c r="C61" t="s">
        <v>381</v>
      </c>
      <c r="D61" t="s">
        <v>95</v>
      </c>
      <c r="E61" t="s">
        <v>96</v>
      </c>
      <c r="F61" t="s">
        <v>55</v>
      </c>
      <c r="G61" t="s">
        <v>47</v>
      </c>
      <c r="H61">
        <v>6</v>
      </c>
      <c r="I61" t="s">
        <v>58</v>
      </c>
      <c r="J61" s="1">
        <v>45540</v>
      </c>
      <c r="K61" t="s">
        <v>1057</v>
      </c>
      <c r="L61" t="s">
        <v>1051</v>
      </c>
      <c r="M61">
        <v>8</v>
      </c>
      <c r="N61" t="s">
        <v>1063</v>
      </c>
      <c r="O61">
        <v>8</v>
      </c>
      <c r="P61">
        <v>0</v>
      </c>
      <c r="Q61">
        <v>-8</v>
      </c>
      <c r="R61">
        <v>23.38</v>
      </c>
      <c r="S61">
        <v>0</v>
      </c>
      <c r="T61">
        <v>16.3</v>
      </c>
      <c r="U61">
        <v>-130.4</v>
      </c>
      <c r="V61">
        <v>33912.589999999997</v>
      </c>
      <c r="W61" s="1">
        <v>43810</v>
      </c>
      <c r="X61" t="s">
        <v>25</v>
      </c>
    </row>
    <row r="62" spans="1:24" x14ac:dyDescent="0.3">
      <c r="A62" t="s">
        <v>1082</v>
      </c>
      <c r="B62" t="s">
        <v>368</v>
      </c>
      <c r="C62" t="s">
        <v>369</v>
      </c>
      <c r="D62" t="s">
        <v>22</v>
      </c>
      <c r="E62" t="s">
        <v>260</v>
      </c>
      <c r="F62" t="s">
        <v>23</v>
      </c>
      <c r="G62" t="s">
        <v>47</v>
      </c>
      <c r="H62">
        <v>2</v>
      </c>
      <c r="I62" t="s">
        <v>29</v>
      </c>
      <c r="J62" s="1">
        <v>45607</v>
      </c>
      <c r="K62" t="s">
        <v>1062</v>
      </c>
      <c r="L62" t="s">
        <v>1066</v>
      </c>
      <c r="M62">
        <v>14</v>
      </c>
      <c r="N62" t="s">
        <v>1052</v>
      </c>
      <c r="O62">
        <v>8</v>
      </c>
      <c r="P62">
        <v>7.94</v>
      </c>
      <c r="Q62">
        <v>-0.06</v>
      </c>
      <c r="R62">
        <v>13.23</v>
      </c>
      <c r="S62">
        <v>105.05</v>
      </c>
      <c r="T62">
        <v>14.5</v>
      </c>
      <c r="U62">
        <v>-10.95</v>
      </c>
      <c r="V62">
        <v>30156.7</v>
      </c>
      <c r="W62" s="1">
        <v>45326</v>
      </c>
      <c r="X62" t="s">
        <v>25</v>
      </c>
    </row>
    <row r="63" spans="1:24" x14ac:dyDescent="0.3">
      <c r="A63" t="s">
        <v>1188</v>
      </c>
      <c r="B63" t="s">
        <v>368</v>
      </c>
      <c r="C63" t="s">
        <v>369</v>
      </c>
      <c r="D63" t="s">
        <v>22</v>
      </c>
      <c r="E63" t="s">
        <v>260</v>
      </c>
      <c r="F63" t="s">
        <v>23</v>
      </c>
      <c r="G63" t="s">
        <v>47</v>
      </c>
      <c r="H63">
        <v>2</v>
      </c>
      <c r="I63" t="s">
        <v>29</v>
      </c>
      <c r="J63" s="1">
        <v>45518</v>
      </c>
      <c r="K63" t="s">
        <v>1054</v>
      </c>
      <c r="L63" t="s">
        <v>1055</v>
      </c>
      <c r="M63">
        <v>22</v>
      </c>
      <c r="N63" t="s">
        <v>1063</v>
      </c>
      <c r="O63">
        <v>8</v>
      </c>
      <c r="P63">
        <v>0</v>
      </c>
      <c r="Q63">
        <v>-8</v>
      </c>
      <c r="R63">
        <v>27.01</v>
      </c>
      <c r="S63">
        <v>0</v>
      </c>
      <c r="T63">
        <v>14.5</v>
      </c>
      <c r="U63">
        <v>-116</v>
      </c>
      <c r="V63">
        <v>30156.7</v>
      </c>
      <c r="W63" s="1">
        <v>45326</v>
      </c>
      <c r="X63" t="s">
        <v>152</v>
      </c>
    </row>
    <row r="64" spans="1:24" x14ac:dyDescent="0.3">
      <c r="A64" t="s">
        <v>1243</v>
      </c>
      <c r="B64" t="s">
        <v>368</v>
      </c>
      <c r="C64" t="s">
        <v>369</v>
      </c>
      <c r="D64" t="s">
        <v>22</v>
      </c>
      <c r="E64" t="s">
        <v>260</v>
      </c>
      <c r="F64" t="s">
        <v>23</v>
      </c>
      <c r="G64" t="s">
        <v>47</v>
      </c>
      <c r="H64">
        <v>2</v>
      </c>
      <c r="I64" t="s">
        <v>29</v>
      </c>
      <c r="J64" s="1">
        <v>45495</v>
      </c>
      <c r="K64" t="s">
        <v>1065</v>
      </c>
      <c r="L64" t="s">
        <v>1066</v>
      </c>
      <c r="M64">
        <v>14</v>
      </c>
      <c r="N64" t="s">
        <v>1063</v>
      </c>
      <c r="O64">
        <v>8</v>
      </c>
      <c r="P64">
        <v>0</v>
      </c>
      <c r="Q64">
        <v>-8</v>
      </c>
      <c r="R64">
        <v>17.71</v>
      </c>
      <c r="S64">
        <v>0</v>
      </c>
      <c r="T64">
        <v>14.5</v>
      </c>
      <c r="U64">
        <v>-116</v>
      </c>
      <c r="V64">
        <v>30156.7</v>
      </c>
      <c r="W64" s="1">
        <v>45326</v>
      </c>
      <c r="X64" t="s">
        <v>25</v>
      </c>
    </row>
    <row r="65" spans="1:24" x14ac:dyDescent="0.3">
      <c r="A65" t="s">
        <v>1227</v>
      </c>
      <c r="B65" t="s">
        <v>159</v>
      </c>
      <c r="C65" t="s">
        <v>160</v>
      </c>
      <c r="D65" t="s">
        <v>95</v>
      </c>
      <c r="E65" t="s">
        <v>162</v>
      </c>
      <c r="F65" t="s">
        <v>23</v>
      </c>
      <c r="G65" t="s">
        <v>47</v>
      </c>
      <c r="H65">
        <v>5</v>
      </c>
      <c r="I65" t="s">
        <v>29</v>
      </c>
      <c r="J65" s="1">
        <v>45607</v>
      </c>
      <c r="K65" t="s">
        <v>1062</v>
      </c>
      <c r="L65" t="s">
        <v>1051</v>
      </c>
      <c r="M65">
        <v>8</v>
      </c>
      <c r="N65" t="s">
        <v>1052</v>
      </c>
      <c r="O65">
        <v>8</v>
      </c>
      <c r="P65">
        <v>8.0399999999999991</v>
      </c>
      <c r="Q65">
        <v>0.04</v>
      </c>
      <c r="R65">
        <v>13.02</v>
      </c>
      <c r="S65">
        <v>104.68</v>
      </c>
      <c r="T65">
        <v>24.03</v>
      </c>
      <c r="U65">
        <v>-87.56</v>
      </c>
      <c r="V65">
        <v>49990.41</v>
      </c>
      <c r="W65" s="1">
        <v>43990</v>
      </c>
      <c r="X65" t="s">
        <v>152</v>
      </c>
    </row>
    <row r="66" spans="1:24" x14ac:dyDescent="0.3">
      <c r="A66" t="s">
        <v>1083</v>
      </c>
      <c r="B66" t="s">
        <v>899</v>
      </c>
      <c r="C66" t="s">
        <v>900</v>
      </c>
      <c r="D66" t="s">
        <v>224</v>
      </c>
      <c r="E66" t="s">
        <v>313</v>
      </c>
      <c r="F66" t="s">
        <v>55</v>
      </c>
      <c r="G66" t="s">
        <v>97</v>
      </c>
      <c r="H66">
        <v>1</v>
      </c>
      <c r="I66" t="s">
        <v>29</v>
      </c>
      <c r="J66" s="1">
        <v>45501</v>
      </c>
      <c r="K66" t="s">
        <v>1065</v>
      </c>
      <c r="L66" t="s">
        <v>1051</v>
      </c>
      <c r="M66">
        <v>8</v>
      </c>
      <c r="N66" t="s">
        <v>1052</v>
      </c>
      <c r="O66">
        <v>8</v>
      </c>
      <c r="P66">
        <v>8.32</v>
      </c>
      <c r="Q66">
        <v>0.32</v>
      </c>
      <c r="R66">
        <v>25.34</v>
      </c>
      <c r="S66">
        <v>210.83</v>
      </c>
      <c r="T66">
        <v>16.14</v>
      </c>
      <c r="U66">
        <v>81.709999999999994</v>
      </c>
      <c r="V66">
        <v>33572.239999999998</v>
      </c>
      <c r="W66" s="1">
        <v>45422</v>
      </c>
      <c r="X66" t="s">
        <v>152</v>
      </c>
    </row>
    <row r="67" spans="1:24" x14ac:dyDescent="0.3">
      <c r="A67" t="s">
        <v>1093</v>
      </c>
      <c r="B67" t="s">
        <v>899</v>
      </c>
      <c r="C67" t="s">
        <v>900</v>
      </c>
      <c r="D67" t="s">
        <v>224</v>
      </c>
      <c r="E67" t="s">
        <v>313</v>
      </c>
      <c r="F67" t="s">
        <v>55</v>
      </c>
      <c r="G67" t="s">
        <v>97</v>
      </c>
      <c r="H67">
        <v>1</v>
      </c>
      <c r="I67" t="s">
        <v>29</v>
      </c>
      <c r="J67" s="1">
        <v>45511</v>
      </c>
      <c r="K67" t="s">
        <v>1054</v>
      </c>
      <c r="L67" t="s">
        <v>1066</v>
      </c>
      <c r="M67">
        <v>14</v>
      </c>
      <c r="N67" t="s">
        <v>1052</v>
      </c>
      <c r="O67">
        <v>8</v>
      </c>
      <c r="P67">
        <v>8.24</v>
      </c>
      <c r="Q67">
        <v>0.24</v>
      </c>
      <c r="R67">
        <v>27.64</v>
      </c>
      <c r="S67">
        <v>227.75</v>
      </c>
      <c r="T67">
        <v>16.14</v>
      </c>
      <c r="U67">
        <v>98.63</v>
      </c>
      <c r="V67">
        <v>33572.239999999998</v>
      </c>
      <c r="W67" s="1">
        <v>45422</v>
      </c>
      <c r="X67" t="s">
        <v>152</v>
      </c>
    </row>
    <row r="68" spans="1:24" x14ac:dyDescent="0.3">
      <c r="A68" t="s">
        <v>1236</v>
      </c>
      <c r="B68" t="s">
        <v>899</v>
      </c>
      <c r="C68" t="s">
        <v>900</v>
      </c>
      <c r="D68" t="s">
        <v>224</v>
      </c>
      <c r="E68" t="s">
        <v>313</v>
      </c>
      <c r="F68" t="s">
        <v>55</v>
      </c>
      <c r="G68" t="s">
        <v>97</v>
      </c>
      <c r="H68">
        <v>1</v>
      </c>
      <c r="I68" t="s">
        <v>29</v>
      </c>
      <c r="J68" s="1">
        <v>45510</v>
      </c>
      <c r="K68" t="s">
        <v>1054</v>
      </c>
      <c r="L68" t="s">
        <v>1066</v>
      </c>
      <c r="M68">
        <v>14</v>
      </c>
      <c r="N68" t="s">
        <v>1073</v>
      </c>
      <c r="O68">
        <v>8</v>
      </c>
      <c r="P68">
        <v>0</v>
      </c>
      <c r="Q68">
        <v>-8</v>
      </c>
      <c r="R68">
        <v>23.37</v>
      </c>
      <c r="S68">
        <v>0</v>
      </c>
      <c r="T68">
        <v>16.14</v>
      </c>
      <c r="U68">
        <v>-129.12</v>
      </c>
      <c r="V68">
        <v>33572.239999999998</v>
      </c>
      <c r="W68" s="1">
        <v>45422</v>
      </c>
      <c r="X68" t="s">
        <v>25</v>
      </c>
    </row>
    <row r="69" spans="1:24" x14ac:dyDescent="0.3">
      <c r="A69" t="s">
        <v>1206</v>
      </c>
      <c r="B69" t="s">
        <v>165</v>
      </c>
      <c r="C69" t="s">
        <v>166</v>
      </c>
      <c r="D69" t="s">
        <v>118</v>
      </c>
      <c r="E69" t="s">
        <v>169</v>
      </c>
      <c r="F69" t="s">
        <v>46</v>
      </c>
      <c r="G69" t="s">
        <v>47</v>
      </c>
      <c r="H69">
        <v>5</v>
      </c>
      <c r="I69" t="s">
        <v>58</v>
      </c>
      <c r="J69" s="1">
        <v>45622</v>
      </c>
      <c r="K69" t="s">
        <v>1062</v>
      </c>
      <c r="L69" t="s">
        <v>1058</v>
      </c>
      <c r="M69">
        <v>6</v>
      </c>
      <c r="N69" t="s">
        <v>1052</v>
      </c>
      <c r="O69">
        <v>8</v>
      </c>
      <c r="P69">
        <v>8.41</v>
      </c>
      <c r="Q69">
        <v>0.41</v>
      </c>
      <c r="R69">
        <v>11.98</v>
      </c>
      <c r="S69">
        <v>100.75</v>
      </c>
      <c r="T69">
        <v>12.62</v>
      </c>
      <c r="U69">
        <v>-0.21</v>
      </c>
      <c r="V69">
        <v>26248.17</v>
      </c>
      <c r="W69" s="1">
        <v>44277</v>
      </c>
      <c r="X69" t="s">
        <v>152</v>
      </c>
    </row>
    <row r="70" spans="1:24" x14ac:dyDescent="0.3">
      <c r="A70" t="s">
        <v>1085</v>
      </c>
      <c r="B70" t="s">
        <v>681</v>
      </c>
      <c r="C70" t="s">
        <v>682</v>
      </c>
      <c r="D70" t="s">
        <v>64</v>
      </c>
      <c r="E70" t="s">
        <v>555</v>
      </c>
      <c r="F70" t="s">
        <v>66</v>
      </c>
      <c r="G70" t="s">
        <v>37</v>
      </c>
      <c r="H70">
        <v>3</v>
      </c>
      <c r="I70" t="s">
        <v>29</v>
      </c>
      <c r="J70" s="1">
        <v>45530</v>
      </c>
      <c r="K70" t="s">
        <v>1054</v>
      </c>
      <c r="L70" t="s">
        <v>1058</v>
      </c>
      <c r="M70">
        <v>6</v>
      </c>
      <c r="N70" t="s">
        <v>1063</v>
      </c>
      <c r="O70">
        <v>8</v>
      </c>
      <c r="P70">
        <v>0</v>
      </c>
      <c r="Q70">
        <v>-8</v>
      </c>
      <c r="R70">
        <v>18.5</v>
      </c>
      <c r="S70">
        <v>0</v>
      </c>
      <c r="T70">
        <v>19.100000000000001</v>
      </c>
      <c r="U70">
        <v>-152.80000000000001</v>
      </c>
      <c r="V70">
        <v>39719.17</v>
      </c>
      <c r="W70" s="1">
        <v>44916</v>
      </c>
      <c r="X70" t="s">
        <v>1071</v>
      </c>
    </row>
    <row r="71" spans="1:24" x14ac:dyDescent="0.3">
      <c r="A71" t="s">
        <v>1124</v>
      </c>
      <c r="B71" t="s">
        <v>178</v>
      </c>
      <c r="C71" t="s">
        <v>179</v>
      </c>
      <c r="D71" t="s">
        <v>22</v>
      </c>
      <c r="E71" t="s">
        <v>181</v>
      </c>
      <c r="F71" t="s">
        <v>66</v>
      </c>
      <c r="G71" t="s">
        <v>24</v>
      </c>
      <c r="H71">
        <v>6</v>
      </c>
      <c r="I71" t="s">
        <v>29</v>
      </c>
      <c r="J71" s="1">
        <v>45495</v>
      </c>
      <c r="K71" t="s">
        <v>1065</v>
      </c>
      <c r="L71" t="s">
        <v>1051</v>
      </c>
      <c r="M71">
        <v>8</v>
      </c>
      <c r="N71" t="s">
        <v>1052</v>
      </c>
      <c r="O71">
        <v>8</v>
      </c>
      <c r="P71">
        <v>8.02</v>
      </c>
      <c r="Q71">
        <v>0.02</v>
      </c>
      <c r="R71">
        <v>24.4</v>
      </c>
      <c r="S71">
        <v>195.69</v>
      </c>
      <c r="T71">
        <v>25.53</v>
      </c>
      <c r="U71">
        <v>-8.5500000000000007</v>
      </c>
      <c r="V71">
        <v>53108.36</v>
      </c>
      <c r="W71" s="1">
        <v>43743</v>
      </c>
      <c r="X71" t="s">
        <v>152</v>
      </c>
    </row>
    <row r="72" spans="1:24" x14ac:dyDescent="0.3">
      <c r="A72" t="s">
        <v>1086</v>
      </c>
      <c r="B72" t="s">
        <v>911</v>
      </c>
      <c r="C72" t="s">
        <v>912</v>
      </c>
      <c r="D72" t="s">
        <v>224</v>
      </c>
      <c r="E72" t="s">
        <v>225</v>
      </c>
      <c r="F72" t="s">
        <v>46</v>
      </c>
      <c r="G72" t="s">
        <v>37</v>
      </c>
      <c r="H72">
        <v>2</v>
      </c>
      <c r="I72" t="s">
        <v>58</v>
      </c>
      <c r="J72" s="1">
        <v>45655</v>
      </c>
      <c r="K72" t="s">
        <v>1069</v>
      </c>
      <c r="L72" t="s">
        <v>1058</v>
      </c>
      <c r="M72">
        <v>6</v>
      </c>
      <c r="N72" t="s">
        <v>1052</v>
      </c>
      <c r="O72">
        <v>8</v>
      </c>
      <c r="P72">
        <v>7.91</v>
      </c>
      <c r="Q72">
        <v>-0.09</v>
      </c>
      <c r="R72">
        <v>16.2</v>
      </c>
      <c r="S72">
        <v>128.13999999999999</v>
      </c>
      <c r="T72">
        <v>25.64</v>
      </c>
      <c r="U72">
        <v>-76.98</v>
      </c>
      <c r="V72">
        <v>53338.3</v>
      </c>
      <c r="W72" s="1">
        <v>45079</v>
      </c>
      <c r="X72" t="s">
        <v>152</v>
      </c>
    </row>
    <row r="73" spans="1:24" x14ac:dyDescent="0.3">
      <c r="A73" t="s">
        <v>1087</v>
      </c>
      <c r="B73" t="s">
        <v>441</v>
      </c>
      <c r="C73" t="s">
        <v>442</v>
      </c>
      <c r="D73" t="s">
        <v>95</v>
      </c>
      <c r="E73" t="s">
        <v>111</v>
      </c>
      <c r="F73" t="s">
        <v>23</v>
      </c>
      <c r="G73" t="s">
        <v>37</v>
      </c>
      <c r="H73">
        <v>5</v>
      </c>
      <c r="I73" t="s">
        <v>58</v>
      </c>
      <c r="J73" s="1">
        <v>45590</v>
      </c>
      <c r="K73" t="s">
        <v>1050</v>
      </c>
      <c r="L73" t="s">
        <v>1066</v>
      </c>
      <c r="M73">
        <v>14</v>
      </c>
      <c r="N73" t="s">
        <v>1060</v>
      </c>
      <c r="O73">
        <v>8</v>
      </c>
      <c r="P73">
        <v>5.58</v>
      </c>
      <c r="Q73">
        <v>-2.42</v>
      </c>
      <c r="R73">
        <v>13.72</v>
      </c>
      <c r="S73">
        <v>76.56</v>
      </c>
      <c r="T73">
        <v>19.52</v>
      </c>
      <c r="U73">
        <v>-79.599999999999994</v>
      </c>
      <c r="V73">
        <v>40592.03</v>
      </c>
      <c r="W73" s="1">
        <v>44088</v>
      </c>
      <c r="X73" t="s">
        <v>25</v>
      </c>
    </row>
    <row r="74" spans="1:24" x14ac:dyDescent="0.3">
      <c r="A74" t="s">
        <v>1132</v>
      </c>
      <c r="B74" t="s">
        <v>441</v>
      </c>
      <c r="C74" t="s">
        <v>442</v>
      </c>
      <c r="D74" t="s">
        <v>95</v>
      </c>
      <c r="E74" t="s">
        <v>111</v>
      </c>
      <c r="F74" t="s">
        <v>23</v>
      </c>
      <c r="G74" t="s">
        <v>37</v>
      </c>
      <c r="H74">
        <v>5</v>
      </c>
      <c r="I74" t="s">
        <v>58</v>
      </c>
      <c r="J74" s="1">
        <v>45509</v>
      </c>
      <c r="K74" t="s">
        <v>1054</v>
      </c>
      <c r="L74" t="s">
        <v>1055</v>
      </c>
      <c r="M74">
        <v>22</v>
      </c>
      <c r="N74" t="s">
        <v>1073</v>
      </c>
      <c r="O74">
        <v>8</v>
      </c>
      <c r="P74">
        <v>0</v>
      </c>
      <c r="Q74">
        <v>-8</v>
      </c>
      <c r="R74">
        <v>24.69</v>
      </c>
      <c r="S74">
        <v>0</v>
      </c>
      <c r="T74">
        <v>19.52</v>
      </c>
      <c r="U74">
        <v>-156.16</v>
      </c>
      <c r="V74">
        <v>40592.03</v>
      </c>
      <c r="W74" s="1">
        <v>44088</v>
      </c>
      <c r="X74" t="s">
        <v>152</v>
      </c>
    </row>
    <row r="75" spans="1:24" x14ac:dyDescent="0.3">
      <c r="A75" t="s">
        <v>1088</v>
      </c>
      <c r="B75" t="s">
        <v>979</v>
      </c>
      <c r="C75" t="s">
        <v>980</v>
      </c>
      <c r="D75" t="s">
        <v>73</v>
      </c>
      <c r="E75" t="s">
        <v>87</v>
      </c>
      <c r="F75" t="s">
        <v>55</v>
      </c>
      <c r="G75" t="s">
        <v>24</v>
      </c>
      <c r="H75">
        <v>1</v>
      </c>
      <c r="I75" t="s">
        <v>29</v>
      </c>
      <c r="J75" s="1">
        <v>45565</v>
      </c>
      <c r="K75" t="s">
        <v>1057</v>
      </c>
      <c r="L75" t="s">
        <v>1055</v>
      </c>
      <c r="M75">
        <v>22</v>
      </c>
      <c r="N75" t="s">
        <v>1052</v>
      </c>
      <c r="O75">
        <v>8</v>
      </c>
      <c r="P75">
        <v>8.0500000000000007</v>
      </c>
      <c r="Q75">
        <v>0.05</v>
      </c>
      <c r="R75">
        <v>20.5</v>
      </c>
      <c r="S75">
        <v>165.02</v>
      </c>
      <c r="T75">
        <v>21.12</v>
      </c>
      <c r="U75">
        <v>-3.94</v>
      </c>
      <c r="V75">
        <v>43932.639999999999</v>
      </c>
      <c r="W75" s="1">
        <v>45480</v>
      </c>
      <c r="X75" t="s">
        <v>25</v>
      </c>
    </row>
    <row r="76" spans="1:24" x14ac:dyDescent="0.3">
      <c r="A76" t="s">
        <v>1110</v>
      </c>
      <c r="B76" t="s">
        <v>979</v>
      </c>
      <c r="C76" t="s">
        <v>980</v>
      </c>
      <c r="D76" t="s">
        <v>73</v>
      </c>
      <c r="E76" t="s">
        <v>87</v>
      </c>
      <c r="F76" t="s">
        <v>55</v>
      </c>
      <c r="G76" t="s">
        <v>24</v>
      </c>
      <c r="H76">
        <v>1</v>
      </c>
      <c r="I76" t="s">
        <v>29</v>
      </c>
      <c r="J76" s="1">
        <v>45644</v>
      </c>
      <c r="K76" t="s">
        <v>1069</v>
      </c>
      <c r="L76" t="s">
        <v>1066</v>
      </c>
      <c r="M76">
        <v>14</v>
      </c>
      <c r="N76" t="s">
        <v>1063</v>
      </c>
      <c r="O76">
        <v>8</v>
      </c>
      <c r="P76">
        <v>0</v>
      </c>
      <c r="Q76">
        <v>-8</v>
      </c>
      <c r="R76">
        <v>20.010000000000002</v>
      </c>
      <c r="S76">
        <v>0</v>
      </c>
      <c r="T76">
        <v>21.12</v>
      </c>
      <c r="U76">
        <v>-168.96</v>
      </c>
      <c r="V76">
        <v>43932.639999999999</v>
      </c>
      <c r="W76" s="1">
        <v>45480</v>
      </c>
      <c r="X76" t="s">
        <v>25</v>
      </c>
    </row>
    <row r="77" spans="1:24" x14ac:dyDescent="0.3">
      <c r="A77" t="s">
        <v>1144</v>
      </c>
      <c r="B77" t="s">
        <v>979</v>
      </c>
      <c r="C77" t="s">
        <v>980</v>
      </c>
      <c r="D77" t="s">
        <v>73</v>
      </c>
      <c r="E77" t="s">
        <v>87</v>
      </c>
      <c r="F77" t="s">
        <v>55</v>
      </c>
      <c r="G77" t="s">
        <v>24</v>
      </c>
      <c r="H77">
        <v>1</v>
      </c>
      <c r="I77" t="s">
        <v>29</v>
      </c>
      <c r="J77" s="1">
        <v>45518</v>
      </c>
      <c r="K77" t="s">
        <v>1054</v>
      </c>
      <c r="L77" t="s">
        <v>1055</v>
      </c>
      <c r="M77">
        <v>22</v>
      </c>
      <c r="N77" t="s">
        <v>1060</v>
      </c>
      <c r="O77">
        <v>8</v>
      </c>
      <c r="P77">
        <v>6.25</v>
      </c>
      <c r="Q77">
        <v>-1.75</v>
      </c>
      <c r="R77">
        <v>17.09</v>
      </c>
      <c r="S77">
        <v>106.81</v>
      </c>
      <c r="T77">
        <v>21.12</v>
      </c>
      <c r="U77">
        <v>-62.15</v>
      </c>
      <c r="V77">
        <v>43932.639999999999</v>
      </c>
      <c r="W77" s="1">
        <v>45480</v>
      </c>
      <c r="X77" t="s">
        <v>1071</v>
      </c>
    </row>
    <row r="78" spans="1:24" x14ac:dyDescent="0.3">
      <c r="A78" t="s">
        <v>1280</v>
      </c>
      <c r="B78" t="s">
        <v>196</v>
      </c>
      <c r="C78" t="s">
        <v>197</v>
      </c>
      <c r="D78" t="s">
        <v>73</v>
      </c>
      <c r="E78" t="s">
        <v>74</v>
      </c>
      <c r="F78" t="s">
        <v>66</v>
      </c>
      <c r="G78" t="s">
        <v>47</v>
      </c>
      <c r="H78">
        <v>6</v>
      </c>
      <c r="I78" t="s">
        <v>29</v>
      </c>
      <c r="J78" s="1">
        <v>45545</v>
      </c>
      <c r="K78" t="s">
        <v>1057</v>
      </c>
      <c r="L78" t="s">
        <v>1066</v>
      </c>
      <c r="M78">
        <v>14</v>
      </c>
      <c r="N78" t="s">
        <v>1052</v>
      </c>
      <c r="O78">
        <v>8</v>
      </c>
      <c r="P78">
        <v>8.49</v>
      </c>
      <c r="Q78">
        <v>0.49</v>
      </c>
      <c r="R78">
        <v>13.37</v>
      </c>
      <c r="S78">
        <v>113.51</v>
      </c>
      <c r="T78">
        <v>11.78</v>
      </c>
      <c r="U78">
        <v>19.27</v>
      </c>
      <c r="V78">
        <v>24507.81</v>
      </c>
      <c r="W78" s="1">
        <v>43667</v>
      </c>
      <c r="X78" t="s">
        <v>152</v>
      </c>
    </row>
    <row r="79" spans="1:24" x14ac:dyDescent="0.3">
      <c r="A79" t="s">
        <v>1282</v>
      </c>
      <c r="B79" t="s">
        <v>196</v>
      </c>
      <c r="C79" t="s">
        <v>197</v>
      </c>
      <c r="D79" t="s">
        <v>73</v>
      </c>
      <c r="E79" t="s">
        <v>74</v>
      </c>
      <c r="F79" t="s">
        <v>66</v>
      </c>
      <c r="G79" t="s">
        <v>47</v>
      </c>
      <c r="H79">
        <v>6</v>
      </c>
      <c r="I79" t="s">
        <v>29</v>
      </c>
      <c r="J79" s="1">
        <v>45554</v>
      </c>
      <c r="K79" t="s">
        <v>1057</v>
      </c>
      <c r="L79" t="s">
        <v>1058</v>
      </c>
      <c r="M79">
        <v>6</v>
      </c>
      <c r="N79" t="s">
        <v>1052</v>
      </c>
      <c r="O79">
        <v>8</v>
      </c>
      <c r="P79">
        <v>8.44</v>
      </c>
      <c r="Q79">
        <v>0.44</v>
      </c>
      <c r="R79">
        <v>20.23</v>
      </c>
      <c r="S79">
        <v>170.74</v>
      </c>
      <c r="T79">
        <v>11.78</v>
      </c>
      <c r="U79">
        <v>76.5</v>
      </c>
      <c r="V79">
        <v>24507.81</v>
      </c>
      <c r="W79" s="1">
        <v>43667</v>
      </c>
      <c r="X79" t="s">
        <v>25</v>
      </c>
    </row>
    <row r="80" spans="1:24" x14ac:dyDescent="0.3">
      <c r="A80" t="s">
        <v>1089</v>
      </c>
      <c r="B80" t="s">
        <v>943</v>
      </c>
      <c r="C80" t="s">
        <v>944</v>
      </c>
      <c r="D80" t="s">
        <v>22</v>
      </c>
      <c r="E80" t="s">
        <v>181</v>
      </c>
      <c r="F80" t="s">
        <v>66</v>
      </c>
      <c r="G80" t="s">
        <v>97</v>
      </c>
      <c r="H80">
        <v>3</v>
      </c>
      <c r="I80" t="s">
        <v>29</v>
      </c>
      <c r="J80" s="1">
        <v>45598</v>
      </c>
      <c r="K80" t="s">
        <v>1062</v>
      </c>
      <c r="L80" t="s">
        <v>1055</v>
      </c>
      <c r="M80">
        <v>22</v>
      </c>
      <c r="N80" t="s">
        <v>1052</v>
      </c>
      <c r="O80">
        <v>8</v>
      </c>
      <c r="P80">
        <v>8.07</v>
      </c>
      <c r="Q80">
        <v>7.0000000000000007E-2</v>
      </c>
      <c r="R80">
        <v>13.05</v>
      </c>
      <c r="S80">
        <v>105.31</v>
      </c>
      <c r="T80">
        <v>25.92</v>
      </c>
      <c r="U80">
        <v>-102.05</v>
      </c>
      <c r="V80">
        <v>53908.19</v>
      </c>
      <c r="W80" s="1">
        <v>44701</v>
      </c>
      <c r="X80" t="s">
        <v>25</v>
      </c>
    </row>
    <row r="81" spans="1:24" x14ac:dyDescent="0.3">
      <c r="A81" t="s">
        <v>1171</v>
      </c>
      <c r="B81" t="s">
        <v>203</v>
      </c>
      <c r="C81" t="s">
        <v>204</v>
      </c>
      <c r="D81" t="s">
        <v>95</v>
      </c>
      <c r="E81" t="s">
        <v>162</v>
      </c>
      <c r="F81" t="s">
        <v>66</v>
      </c>
      <c r="G81" t="s">
        <v>47</v>
      </c>
      <c r="H81">
        <v>4</v>
      </c>
      <c r="I81" t="s">
        <v>58</v>
      </c>
      <c r="J81" s="1">
        <v>45576</v>
      </c>
      <c r="K81" t="s">
        <v>1050</v>
      </c>
      <c r="L81" t="s">
        <v>1055</v>
      </c>
      <c r="M81">
        <v>22</v>
      </c>
      <c r="N81" t="s">
        <v>1063</v>
      </c>
      <c r="O81">
        <v>8</v>
      </c>
      <c r="P81">
        <v>0</v>
      </c>
      <c r="Q81">
        <v>-8</v>
      </c>
      <c r="R81">
        <v>23.77</v>
      </c>
      <c r="S81">
        <v>0</v>
      </c>
      <c r="T81">
        <v>21.88</v>
      </c>
      <c r="U81">
        <v>-175.04</v>
      </c>
      <c r="V81">
        <v>45515.25</v>
      </c>
      <c r="W81" s="1">
        <v>44656</v>
      </c>
      <c r="X81" t="s">
        <v>25</v>
      </c>
    </row>
    <row r="82" spans="1:24" x14ac:dyDescent="0.3">
      <c r="A82" t="s">
        <v>1183</v>
      </c>
      <c r="B82" t="s">
        <v>203</v>
      </c>
      <c r="C82" t="s">
        <v>204</v>
      </c>
      <c r="D82" t="s">
        <v>95</v>
      </c>
      <c r="E82" t="s">
        <v>162</v>
      </c>
      <c r="F82" t="s">
        <v>66</v>
      </c>
      <c r="G82" t="s">
        <v>47</v>
      </c>
      <c r="H82">
        <v>4</v>
      </c>
      <c r="I82" t="s">
        <v>58</v>
      </c>
      <c r="J82" s="1">
        <v>45529</v>
      </c>
      <c r="K82" t="s">
        <v>1054</v>
      </c>
      <c r="L82" t="s">
        <v>1051</v>
      </c>
      <c r="M82">
        <v>8</v>
      </c>
      <c r="N82" t="s">
        <v>1052</v>
      </c>
      <c r="O82">
        <v>8</v>
      </c>
      <c r="P82">
        <v>8.35</v>
      </c>
      <c r="Q82">
        <v>0.35</v>
      </c>
      <c r="R82">
        <v>13.83</v>
      </c>
      <c r="S82">
        <v>115.48</v>
      </c>
      <c r="T82">
        <v>21.88</v>
      </c>
      <c r="U82">
        <v>-59.56</v>
      </c>
      <c r="V82">
        <v>45515.25</v>
      </c>
      <c r="W82" s="1">
        <v>44656</v>
      </c>
      <c r="X82" t="s">
        <v>1071</v>
      </c>
    </row>
    <row r="83" spans="1:24" x14ac:dyDescent="0.3">
      <c r="A83" t="s">
        <v>1192</v>
      </c>
      <c r="B83" t="s">
        <v>203</v>
      </c>
      <c r="C83" t="s">
        <v>204</v>
      </c>
      <c r="D83" t="s">
        <v>95</v>
      </c>
      <c r="E83" t="s">
        <v>162</v>
      </c>
      <c r="F83" t="s">
        <v>66</v>
      </c>
      <c r="G83" t="s">
        <v>47</v>
      </c>
      <c r="H83">
        <v>4</v>
      </c>
      <c r="I83" t="s">
        <v>58</v>
      </c>
      <c r="J83" s="1">
        <v>45634</v>
      </c>
      <c r="K83" t="s">
        <v>1069</v>
      </c>
      <c r="L83" t="s">
        <v>1051</v>
      </c>
      <c r="M83">
        <v>8</v>
      </c>
      <c r="N83" t="s">
        <v>1060</v>
      </c>
      <c r="O83">
        <v>8</v>
      </c>
      <c r="P83">
        <v>6.88</v>
      </c>
      <c r="Q83">
        <v>-1.1200000000000001</v>
      </c>
      <c r="R83">
        <v>14.55</v>
      </c>
      <c r="S83">
        <v>100.1</v>
      </c>
      <c r="T83">
        <v>21.88</v>
      </c>
      <c r="U83">
        <v>-74.94</v>
      </c>
      <c r="V83">
        <v>45515.25</v>
      </c>
      <c r="W83" s="1">
        <v>44656</v>
      </c>
      <c r="X83" t="s">
        <v>25</v>
      </c>
    </row>
    <row r="84" spans="1:24" x14ac:dyDescent="0.3">
      <c r="A84" t="s">
        <v>1198</v>
      </c>
      <c r="B84" t="s">
        <v>208</v>
      </c>
      <c r="C84" t="s">
        <v>209</v>
      </c>
      <c r="D84" t="s">
        <v>132</v>
      </c>
      <c r="E84" t="s">
        <v>212</v>
      </c>
      <c r="F84" t="s">
        <v>23</v>
      </c>
      <c r="G84" t="s">
        <v>47</v>
      </c>
      <c r="H84">
        <v>2</v>
      </c>
      <c r="I84" t="s">
        <v>29</v>
      </c>
      <c r="J84" s="1">
        <v>45613</v>
      </c>
      <c r="K84" t="s">
        <v>1062</v>
      </c>
      <c r="L84" t="s">
        <v>1051</v>
      </c>
      <c r="M84">
        <v>8</v>
      </c>
      <c r="N84" t="s">
        <v>1063</v>
      </c>
      <c r="O84">
        <v>8</v>
      </c>
      <c r="P84">
        <v>0</v>
      </c>
      <c r="Q84">
        <v>-8</v>
      </c>
      <c r="R84">
        <v>20.97</v>
      </c>
      <c r="S84">
        <v>0</v>
      </c>
      <c r="T84">
        <v>15.47</v>
      </c>
      <c r="U84">
        <v>-123.76</v>
      </c>
      <c r="V84">
        <v>32172.31</v>
      </c>
      <c r="W84" s="1">
        <v>45316</v>
      </c>
      <c r="X84" t="s">
        <v>152</v>
      </c>
    </row>
    <row r="85" spans="1:24" x14ac:dyDescent="0.3">
      <c r="A85" t="s">
        <v>1091</v>
      </c>
      <c r="B85" t="s">
        <v>772</v>
      </c>
      <c r="C85" t="s">
        <v>773</v>
      </c>
      <c r="D85" t="s">
        <v>73</v>
      </c>
      <c r="E85" t="s">
        <v>74</v>
      </c>
      <c r="F85" t="s">
        <v>46</v>
      </c>
      <c r="G85" t="s">
        <v>47</v>
      </c>
      <c r="H85">
        <v>2</v>
      </c>
      <c r="I85" t="s">
        <v>29</v>
      </c>
      <c r="J85" s="1">
        <v>45557</v>
      </c>
      <c r="K85" t="s">
        <v>1057</v>
      </c>
      <c r="L85" t="s">
        <v>1058</v>
      </c>
      <c r="M85">
        <v>6</v>
      </c>
      <c r="N85" t="s">
        <v>1052</v>
      </c>
      <c r="O85">
        <v>8</v>
      </c>
      <c r="P85">
        <v>8.27</v>
      </c>
      <c r="Q85">
        <v>0.27</v>
      </c>
      <c r="R85">
        <v>24.74</v>
      </c>
      <c r="S85">
        <v>204.6</v>
      </c>
      <c r="T85">
        <v>10.28</v>
      </c>
      <c r="U85">
        <v>122.36</v>
      </c>
      <c r="V85">
        <v>21374.880000000001</v>
      </c>
      <c r="W85" s="1">
        <v>45120</v>
      </c>
      <c r="X85" t="s">
        <v>25</v>
      </c>
    </row>
    <row r="86" spans="1:24" x14ac:dyDescent="0.3">
      <c r="A86" t="s">
        <v>1209</v>
      </c>
      <c r="B86" t="s">
        <v>772</v>
      </c>
      <c r="C86" t="s">
        <v>773</v>
      </c>
      <c r="D86" t="s">
        <v>73</v>
      </c>
      <c r="E86" t="s">
        <v>74</v>
      </c>
      <c r="F86" t="s">
        <v>46</v>
      </c>
      <c r="G86" t="s">
        <v>47</v>
      </c>
      <c r="H86">
        <v>2</v>
      </c>
      <c r="I86" t="s">
        <v>29</v>
      </c>
      <c r="J86" s="1">
        <v>45478</v>
      </c>
      <c r="K86" t="s">
        <v>1065</v>
      </c>
      <c r="L86" t="s">
        <v>1051</v>
      </c>
      <c r="M86">
        <v>8</v>
      </c>
      <c r="N86" t="s">
        <v>1063</v>
      </c>
      <c r="O86">
        <v>8</v>
      </c>
      <c r="P86">
        <v>0</v>
      </c>
      <c r="Q86">
        <v>-8</v>
      </c>
      <c r="R86">
        <v>27.33</v>
      </c>
      <c r="S86">
        <v>0</v>
      </c>
      <c r="T86">
        <v>10.28</v>
      </c>
      <c r="U86">
        <v>-82.24</v>
      </c>
      <c r="V86">
        <v>21374.880000000001</v>
      </c>
      <c r="W86" s="1">
        <v>45120</v>
      </c>
      <c r="X86" t="s">
        <v>25</v>
      </c>
    </row>
    <row r="87" spans="1:24" x14ac:dyDescent="0.3">
      <c r="A87" t="s">
        <v>1092</v>
      </c>
      <c r="B87" t="s">
        <v>524</v>
      </c>
      <c r="C87" t="s">
        <v>525</v>
      </c>
      <c r="D87" t="s">
        <v>73</v>
      </c>
      <c r="E87" t="s">
        <v>87</v>
      </c>
      <c r="F87" t="s">
        <v>23</v>
      </c>
      <c r="G87" t="s">
        <v>97</v>
      </c>
      <c r="H87">
        <v>1</v>
      </c>
      <c r="I87" t="s">
        <v>29</v>
      </c>
      <c r="J87" s="1">
        <v>45566</v>
      </c>
      <c r="K87" t="s">
        <v>1050</v>
      </c>
      <c r="L87" t="s">
        <v>1055</v>
      </c>
      <c r="M87">
        <v>22</v>
      </c>
      <c r="N87" t="s">
        <v>1063</v>
      </c>
      <c r="O87">
        <v>8</v>
      </c>
      <c r="P87">
        <v>0</v>
      </c>
      <c r="Q87">
        <v>-8</v>
      </c>
      <c r="R87">
        <v>16.52</v>
      </c>
      <c r="S87">
        <v>0</v>
      </c>
      <c r="T87">
        <v>18.489999999999998</v>
      </c>
      <c r="U87">
        <v>-147.91999999999999</v>
      </c>
      <c r="V87">
        <v>38469.25</v>
      </c>
      <c r="W87" s="1">
        <v>45478</v>
      </c>
      <c r="X87" t="s">
        <v>25</v>
      </c>
    </row>
    <row r="88" spans="1:24" x14ac:dyDescent="0.3">
      <c r="A88" t="s">
        <v>1148</v>
      </c>
      <c r="B88" t="s">
        <v>524</v>
      </c>
      <c r="C88" t="s">
        <v>525</v>
      </c>
      <c r="D88" t="s">
        <v>73</v>
      </c>
      <c r="E88" t="s">
        <v>87</v>
      </c>
      <c r="F88" t="s">
        <v>23</v>
      </c>
      <c r="G88" t="s">
        <v>97</v>
      </c>
      <c r="H88">
        <v>1</v>
      </c>
      <c r="I88" t="s">
        <v>29</v>
      </c>
      <c r="J88" s="1">
        <v>45558</v>
      </c>
      <c r="K88" t="s">
        <v>1057</v>
      </c>
      <c r="L88" t="s">
        <v>1051</v>
      </c>
      <c r="M88">
        <v>8</v>
      </c>
      <c r="N88" t="s">
        <v>1052</v>
      </c>
      <c r="O88">
        <v>8</v>
      </c>
      <c r="P88">
        <v>7.87</v>
      </c>
      <c r="Q88">
        <v>-0.13</v>
      </c>
      <c r="R88">
        <v>16.72</v>
      </c>
      <c r="S88">
        <v>131.59</v>
      </c>
      <c r="T88">
        <v>18.489999999999998</v>
      </c>
      <c r="U88">
        <v>-16.329999999999998</v>
      </c>
      <c r="V88">
        <v>38469.25</v>
      </c>
      <c r="W88" s="1">
        <v>45478</v>
      </c>
      <c r="X88" t="s">
        <v>25</v>
      </c>
    </row>
    <row r="89" spans="1:24" x14ac:dyDescent="0.3">
      <c r="A89" t="s">
        <v>1094</v>
      </c>
      <c r="B89" t="s">
        <v>712</v>
      </c>
      <c r="C89" t="s">
        <v>713</v>
      </c>
      <c r="D89" t="s">
        <v>73</v>
      </c>
      <c r="E89" t="s">
        <v>74</v>
      </c>
      <c r="F89" t="s">
        <v>55</v>
      </c>
      <c r="G89" t="s">
        <v>37</v>
      </c>
      <c r="H89">
        <v>6</v>
      </c>
      <c r="I89" t="s">
        <v>58</v>
      </c>
      <c r="J89" s="1">
        <v>45544</v>
      </c>
      <c r="K89" t="s">
        <v>1057</v>
      </c>
      <c r="L89" t="s">
        <v>1051</v>
      </c>
      <c r="M89">
        <v>8</v>
      </c>
      <c r="N89" t="s">
        <v>1052</v>
      </c>
      <c r="O89">
        <v>8</v>
      </c>
      <c r="P89">
        <v>8.0399999999999991</v>
      </c>
      <c r="Q89">
        <v>0.04</v>
      </c>
      <c r="R89">
        <v>21.55</v>
      </c>
      <c r="S89">
        <v>173.26</v>
      </c>
      <c r="T89">
        <v>8.94</v>
      </c>
      <c r="U89">
        <v>101.74</v>
      </c>
      <c r="V89">
        <v>18602.41</v>
      </c>
      <c r="W89" s="1">
        <v>43725</v>
      </c>
      <c r="X89" t="s">
        <v>25</v>
      </c>
    </row>
    <row r="90" spans="1:24" x14ac:dyDescent="0.3">
      <c r="A90" t="s">
        <v>1173</v>
      </c>
      <c r="B90" t="s">
        <v>233</v>
      </c>
      <c r="C90" t="s">
        <v>234</v>
      </c>
      <c r="D90" t="s">
        <v>132</v>
      </c>
      <c r="E90" t="s">
        <v>133</v>
      </c>
      <c r="F90" t="s">
        <v>23</v>
      </c>
      <c r="G90" t="s">
        <v>37</v>
      </c>
      <c r="H90">
        <v>5</v>
      </c>
      <c r="I90" t="s">
        <v>29</v>
      </c>
      <c r="J90" s="1">
        <v>45535</v>
      </c>
      <c r="K90" t="s">
        <v>1054</v>
      </c>
      <c r="L90" t="s">
        <v>1058</v>
      </c>
      <c r="M90">
        <v>6</v>
      </c>
      <c r="N90" t="s">
        <v>1052</v>
      </c>
      <c r="O90">
        <v>8</v>
      </c>
      <c r="P90">
        <v>8.27</v>
      </c>
      <c r="Q90">
        <v>0.27</v>
      </c>
      <c r="R90">
        <v>21.15</v>
      </c>
      <c r="S90">
        <v>174.91</v>
      </c>
      <c r="T90">
        <v>21.1</v>
      </c>
      <c r="U90">
        <v>6.11</v>
      </c>
      <c r="V90">
        <v>43880.2</v>
      </c>
      <c r="W90" s="1">
        <v>44058</v>
      </c>
      <c r="X90" t="s">
        <v>152</v>
      </c>
    </row>
    <row r="91" spans="1:24" x14ac:dyDescent="0.3">
      <c r="A91" t="s">
        <v>1095</v>
      </c>
      <c r="B91" t="s">
        <v>528</v>
      </c>
      <c r="C91" t="s">
        <v>529</v>
      </c>
      <c r="D91" t="s">
        <v>95</v>
      </c>
      <c r="E91" t="s">
        <v>162</v>
      </c>
      <c r="F91" t="s">
        <v>55</v>
      </c>
      <c r="G91" t="s">
        <v>24</v>
      </c>
      <c r="H91">
        <v>5</v>
      </c>
      <c r="I91" t="s">
        <v>29</v>
      </c>
      <c r="J91" s="1">
        <v>45497</v>
      </c>
      <c r="K91" t="s">
        <v>1065</v>
      </c>
      <c r="L91" t="s">
        <v>1051</v>
      </c>
      <c r="M91">
        <v>8</v>
      </c>
      <c r="N91" t="s">
        <v>1052</v>
      </c>
      <c r="O91">
        <v>8</v>
      </c>
      <c r="P91">
        <v>8.18</v>
      </c>
      <c r="Q91">
        <v>0.18</v>
      </c>
      <c r="R91">
        <v>13.33</v>
      </c>
      <c r="S91">
        <v>109.04</v>
      </c>
      <c r="T91">
        <v>9.35</v>
      </c>
      <c r="U91">
        <v>34.24</v>
      </c>
      <c r="V91">
        <v>19439.82</v>
      </c>
      <c r="W91" s="1">
        <v>44167</v>
      </c>
      <c r="X91" t="s">
        <v>152</v>
      </c>
    </row>
    <row r="92" spans="1:24" x14ac:dyDescent="0.3">
      <c r="A92" t="s">
        <v>1107</v>
      </c>
      <c r="B92" t="s">
        <v>239</v>
      </c>
      <c r="C92" t="s">
        <v>240</v>
      </c>
      <c r="D92" t="s">
        <v>22</v>
      </c>
      <c r="E92" t="s">
        <v>22</v>
      </c>
      <c r="F92" t="s">
        <v>46</v>
      </c>
      <c r="G92" t="s">
        <v>24</v>
      </c>
      <c r="H92">
        <v>4</v>
      </c>
      <c r="I92" t="s">
        <v>29</v>
      </c>
      <c r="J92" s="1">
        <v>45500</v>
      </c>
      <c r="K92" t="s">
        <v>1065</v>
      </c>
      <c r="L92" t="s">
        <v>1051</v>
      </c>
      <c r="M92">
        <v>8</v>
      </c>
      <c r="N92" t="s">
        <v>1060</v>
      </c>
      <c r="O92">
        <v>8</v>
      </c>
      <c r="P92">
        <v>6.96</v>
      </c>
      <c r="Q92">
        <v>-1.04</v>
      </c>
      <c r="R92">
        <v>13.79</v>
      </c>
      <c r="S92">
        <v>95.98</v>
      </c>
      <c r="T92">
        <v>22.82</v>
      </c>
      <c r="U92">
        <v>-86.58</v>
      </c>
      <c r="V92">
        <v>47460.41</v>
      </c>
      <c r="W92" s="1">
        <v>44469</v>
      </c>
      <c r="X92" t="s">
        <v>25</v>
      </c>
    </row>
    <row r="93" spans="1:24" x14ac:dyDescent="0.3">
      <c r="A93" t="s">
        <v>1162</v>
      </c>
      <c r="B93" t="s">
        <v>239</v>
      </c>
      <c r="C93" t="s">
        <v>240</v>
      </c>
      <c r="D93" t="s">
        <v>22</v>
      </c>
      <c r="E93" t="s">
        <v>22</v>
      </c>
      <c r="F93" t="s">
        <v>46</v>
      </c>
      <c r="G93" t="s">
        <v>24</v>
      </c>
      <c r="H93">
        <v>4</v>
      </c>
      <c r="I93" t="s">
        <v>29</v>
      </c>
      <c r="J93" s="1">
        <v>45509</v>
      </c>
      <c r="K93" t="s">
        <v>1054</v>
      </c>
      <c r="L93" t="s">
        <v>1066</v>
      </c>
      <c r="M93">
        <v>14</v>
      </c>
      <c r="N93" t="s">
        <v>1052</v>
      </c>
      <c r="O93">
        <v>8</v>
      </c>
      <c r="P93">
        <v>8.16</v>
      </c>
      <c r="Q93">
        <v>0.16</v>
      </c>
      <c r="R93">
        <v>16.16</v>
      </c>
      <c r="S93">
        <v>131.87</v>
      </c>
      <c r="T93">
        <v>22.82</v>
      </c>
      <c r="U93">
        <v>-50.69</v>
      </c>
      <c r="V93">
        <v>47460.41</v>
      </c>
      <c r="W93" s="1">
        <v>44469</v>
      </c>
      <c r="X93" t="s">
        <v>25</v>
      </c>
    </row>
    <row r="94" spans="1:24" x14ac:dyDescent="0.3">
      <c r="A94" t="s">
        <v>1096</v>
      </c>
      <c r="B94" t="s">
        <v>471</v>
      </c>
      <c r="C94" t="s">
        <v>472</v>
      </c>
      <c r="D94" t="s">
        <v>64</v>
      </c>
      <c r="E94" t="s">
        <v>430</v>
      </c>
      <c r="F94" t="s">
        <v>55</v>
      </c>
      <c r="G94" t="s">
        <v>97</v>
      </c>
      <c r="H94">
        <v>3</v>
      </c>
      <c r="I94" t="s">
        <v>58</v>
      </c>
      <c r="J94" s="1">
        <v>45504</v>
      </c>
      <c r="K94" t="s">
        <v>1065</v>
      </c>
      <c r="L94" t="s">
        <v>1055</v>
      </c>
      <c r="M94">
        <v>22</v>
      </c>
      <c r="N94" t="s">
        <v>1052</v>
      </c>
      <c r="O94">
        <v>8</v>
      </c>
      <c r="P94">
        <v>8.0500000000000007</v>
      </c>
      <c r="Q94">
        <v>0.05</v>
      </c>
      <c r="R94">
        <v>23.59</v>
      </c>
      <c r="S94">
        <v>189.9</v>
      </c>
      <c r="T94">
        <v>16.43</v>
      </c>
      <c r="U94">
        <v>58.46</v>
      </c>
      <c r="V94">
        <v>34167.199999999997</v>
      </c>
      <c r="W94" s="1">
        <v>44809</v>
      </c>
      <c r="X94" t="s">
        <v>152</v>
      </c>
    </row>
    <row r="95" spans="1:24" x14ac:dyDescent="0.3">
      <c r="A95" t="s">
        <v>1200</v>
      </c>
      <c r="B95" t="s">
        <v>471</v>
      </c>
      <c r="C95" t="s">
        <v>472</v>
      </c>
      <c r="D95" t="s">
        <v>64</v>
      </c>
      <c r="E95" t="s">
        <v>430</v>
      </c>
      <c r="F95" t="s">
        <v>55</v>
      </c>
      <c r="G95" t="s">
        <v>97</v>
      </c>
      <c r="H95">
        <v>3</v>
      </c>
      <c r="I95" t="s">
        <v>58</v>
      </c>
      <c r="J95" s="1">
        <v>45501</v>
      </c>
      <c r="K95" t="s">
        <v>1065</v>
      </c>
      <c r="L95" t="s">
        <v>1051</v>
      </c>
      <c r="M95">
        <v>8</v>
      </c>
      <c r="N95" t="s">
        <v>1052</v>
      </c>
      <c r="O95">
        <v>8</v>
      </c>
      <c r="P95">
        <v>8.09</v>
      </c>
      <c r="Q95">
        <v>0.09</v>
      </c>
      <c r="R95">
        <v>15.75</v>
      </c>
      <c r="S95">
        <v>127.42</v>
      </c>
      <c r="T95">
        <v>16.43</v>
      </c>
      <c r="U95">
        <v>-4.0199999999999996</v>
      </c>
      <c r="V95">
        <v>34167.199999999997</v>
      </c>
      <c r="W95" s="1">
        <v>44809</v>
      </c>
      <c r="X95" t="s">
        <v>152</v>
      </c>
    </row>
    <row r="96" spans="1:24" x14ac:dyDescent="0.3">
      <c r="A96" t="s">
        <v>1097</v>
      </c>
      <c r="B96" t="s">
        <v>339</v>
      </c>
      <c r="C96" t="s">
        <v>340</v>
      </c>
      <c r="D96" t="s">
        <v>35</v>
      </c>
      <c r="E96" t="s">
        <v>36</v>
      </c>
      <c r="F96" t="s">
        <v>66</v>
      </c>
      <c r="G96" t="s">
        <v>97</v>
      </c>
      <c r="H96">
        <v>6</v>
      </c>
      <c r="I96" t="s">
        <v>29</v>
      </c>
      <c r="J96" s="1">
        <v>45626</v>
      </c>
      <c r="K96" t="s">
        <v>1062</v>
      </c>
      <c r="L96" t="s">
        <v>1058</v>
      </c>
      <c r="M96">
        <v>6</v>
      </c>
      <c r="N96" t="s">
        <v>1052</v>
      </c>
      <c r="O96">
        <v>8</v>
      </c>
      <c r="P96">
        <v>7.93</v>
      </c>
      <c r="Q96">
        <v>-7.0000000000000007E-2</v>
      </c>
      <c r="R96">
        <v>14.19</v>
      </c>
      <c r="S96">
        <v>112.53</v>
      </c>
      <c r="T96">
        <v>8.8000000000000007</v>
      </c>
      <c r="U96">
        <v>42.13</v>
      </c>
      <c r="V96">
        <v>18299.62</v>
      </c>
      <c r="W96" s="1">
        <v>43857</v>
      </c>
      <c r="X96" t="s">
        <v>25</v>
      </c>
    </row>
    <row r="97" spans="1:24" x14ac:dyDescent="0.3">
      <c r="A97" t="s">
        <v>1108</v>
      </c>
      <c r="B97" t="s">
        <v>339</v>
      </c>
      <c r="C97" t="s">
        <v>340</v>
      </c>
      <c r="D97" t="s">
        <v>35</v>
      </c>
      <c r="E97" t="s">
        <v>36</v>
      </c>
      <c r="F97" t="s">
        <v>66</v>
      </c>
      <c r="G97" t="s">
        <v>97</v>
      </c>
      <c r="H97">
        <v>6</v>
      </c>
      <c r="I97" t="s">
        <v>29</v>
      </c>
      <c r="J97" s="1">
        <v>45586</v>
      </c>
      <c r="K97" t="s">
        <v>1050</v>
      </c>
      <c r="L97" t="s">
        <v>1058</v>
      </c>
      <c r="M97">
        <v>6</v>
      </c>
      <c r="N97" t="s">
        <v>1063</v>
      </c>
      <c r="O97">
        <v>8</v>
      </c>
      <c r="P97">
        <v>0</v>
      </c>
      <c r="Q97">
        <v>-8</v>
      </c>
      <c r="R97">
        <v>23.22</v>
      </c>
      <c r="S97">
        <v>0</v>
      </c>
      <c r="T97">
        <v>8.8000000000000007</v>
      </c>
      <c r="U97">
        <v>-70.400000000000006</v>
      </c>
      <c r="V97">
        <v>18299.62</v>
      </c>
      <c r="W97" s="1">
        <v>43857</v>
      </c>
      <c r="X97" t="s">
        <v>25</v>
      </c>
    </row>
    <row r="98" spans="1:24" x14ac:dyDescent="0.3">
      <c r="A98" t="s">
        <v>1208</v>
      </c>
      <c r="B98" t="s">
        <v>339</v>
      </c>
      <c r="C98" t="s">
        <v>340</v>
      </c>
      <c r="D98" t="s">
        <v>35</v>
      </c>
      <c r="E98" t="s">
        <v>36</v>
      </c>
      <c r="F98" t="s">
        <v>66</v>
      </c>
      <c r="G98" t="s">
        <v>97</v>
      </c>
      <c r="H98">
        <v>6</v>
      </c>
      <c r="I98" t="s">
        <v>29</v>
      </c>
      <c r="J98" s="1">
        <v>45504</v>
      </c>
      <c r="K98" t="s">
        <v>1065</v>
      </c>
      <c r="L98" t="s">
        <v>1051</v>
      </c>
      <c r="M98">
        <v>8</v>
      </c>
      <c r="N98" t="s">
        <v>1052</v>
      </c>
      <c r="O98">
        <v>8</v>
      </c>
      <c r="P98">
        <v>8.18</v>
      </c>
      <c r="Q98">
        <v>0.18</v>
      </c>
      <c r="R98">
        <v>17.690000000000001</v>
      </c>
      <c r="S98">
        <v>144.69999999999999</v>
      </c>
      <c r="T98">
        <v>8.8000000000000007</v>
      </c>
      <c r="U98">
        <v>74.3</v>
      </c>
      <c r="V98">
        <v>18299.62</v>
      </c>
      <c r="W98" s="1">
        <v>43857</v>
      </c>
      <c r="X98" t="s">
        <v>152</v>
      </c>
    </row>
    <row r="99" spans="1:24" x14ac:dyDescent="0.3">
      <c r="A99" t="s">
        <v>1099</v>
      </c>
      <c r="B99" t="s">
        <v>588</v>
      </c>
      <c r="C99" t="s">
        <v>589</v>
      </c>
      <c r="D99" t="s">
        <v>73</v>
      </c>
      <c r="E99" t="s">
        <v>87</v>
      </c>
      <c r="F99" t="s">
        <v>66</v>
      </c>
      <c r="G99" t="s">
        <v>24</v>
      </c>
      <c r="H99">
        <v>1</v>
      </c>
      <c r="I99" t="s">
        <v>58</v>
      </c>
      <c r="J99" s="1">
        <v>45600</v>
      </c>
      <c r="K99" t="s">
        <v>1062</v>
      </c>
      <c r="L99" t="s">
        <v>1055</v>
      </c>
      <c r="M99">
        <v>22</v>
      </c>
      <c r="N99" t="s">
        <v>1073</v>
      </c>
      <c r="O99">
        <v>8</v>
      </c>
      <c r="P99">
        <v>0</v>
      </c>
      <c r="Q99">
        <v>-8</v>
      </c>
      <c r="R99">
        <v>21.46</v>
      </c>
      <c r="S99">
        <v>0</v>
      </c>
      <c r="T99">
        <v>12.93</v>
      </c>
      <c r="U99">
        <v>-103.44</v>
      </c>
      <c r="V99">
        <v>26904.65</v>
      </c>
      <c r="W99" s="1">
        <v>45491</v>
      </c>
      <c r="X99" t="s">
        <v>1071</v>
      </c>
    </row>
    <row r="100" spans="1:24" x14ac:dyDescent="0.3">
      <c r="A100" t="s">
        <v>1101</v>
      </c>
      <c r="B100" t="s">
        <v>274</v>
      </c>
      <c r="C100" t="s">
        <v>275</v>
      </c>
      <c r="D100" t="s">
        <v>118</v>
      </c>
      <c r="E100" t="s">
        <v>218</v>
      </c>
      <c r="F100" t="s">
        <v>55</v>
      </c>
      <c r="G100" t="s">
        <v>37</v>
      </c>
      <c r="H100">
        <v>4</v>
      </c>
      <c r="I100" t="s">
        <v>29</v>
      </c>
      <c r="J100" s="1">
        <v>45507</v>
      </c>
      <c r="K100" t="s">
        <v>1054</v>
      </c>
      <c r="L100" t="s">
        <v>1066</v>
      </c>
      <c r="M100">
        <v>14</v>
      </c>
      <c r="N100" t="s">
        <v>1052</v>
      </c>
      <c r="O100">
        <v>8</v>
      </c>
      <c r="P100">
        <v>8.09</v>
      </c>
      <c r="Q100">
        <v>0.09</v>
      </c>
      <c r="R100">
        <v>19.66</v>
      </c>
      <c r="S100">
        <v>159.05000000000001</v>
      </c>
      <c r="T100">
        <v>17.399999999999999</v>
      </c>
      <c r="U100">
        <v>19.850000000000001</v>
      </c>
      <c r="V100">
        <v>36194.620000000003</v>
      </c>
      <c r="W100" s="1">
        <v>44447</v>
      </c>
      <c r="X100" t="s">
        <v>1071</v>
      </c>
    </row>
    <row r="101" spans="1:24" x14ac:dyDescent="0.3">
      <c r="A101" t="s">
        <v>1172</v>
      </c>
      <c r="B101" t="s">
        <v>274</v>
      </c>
      <c r="C101" t="s">
        <v>275</v>
      </c>
      <c r="D101" t="s">
        <v>118</v>
      </c>
      <c r="E101" t="s">
        <v>218</v>
      </c>
      <c r="F101" t="s">
        <v>55</v>
      </c>
      <c r="G101" t="s">
        <v>37</v>
      </c>
      <c r="H101">
        <v>4</v>
      </c>
      <c r="I101" t="s">
        <v>29</v>
      </c>
      <c r="J101" s="1">
        <v>45481</v>
      </c>
      <c r="K101" t="s">
        <v>1065</v>
      </c>
      <c r="L101" t="s">
        <v>1058</v>
      </c>
      <c r="M101">
        <v>6</v>
      </c>
      <c r="N101" t="s">
        <v>1052</v>
      </c>
      <c r="O101">
        <v>8</v>
      </c>
      <c r="P101">
        <v>7.96</v>
      </c>
      <c r="Q101">
        <v>-0.04</v>
      </c>
      <c r="R101">
        <v>19.68</v>
      </c>
      <c r="S101">
        <v>156.65</v>
      </c>
      <c r="T101">
        <v>17.399999999999999</v>
      </c>
      <c r="U101">
        <v>17.45</v>
      </c>
      <c r="V101">
        <v>36194.620000000003</v>
      </c>
      <c r="W101" s="1">
        <v>44447</v>
      </c>
      <c r="X101" t="s">
        <v>25</v>
      </c>
    </row>
    <row r="102" spans="1:24" x14ac:dyDescent="0.3">
      <c r="A102" t="s">
        <v>1102</v>
      </c>
      <c r="B102" t="s">
        <v>536</v>
      </c>
      <c r="C102" t="s">
        <v>537</v>
      </c>
      <c r="D102" t="s">
        <v>95</v>
      </c>
      <c r="E102" t="s">
        <v>96</v>
      </c>
      <c r="F102" t="s">
        <v>23</v>
      </c>
      <c r="G102" t="s">
        <v>24</v>
      </c>
      <c r="H102">
        <v>5</v>
      </c>
      <c r="I102" t="s">
        <v>58</v>
      </c>
      <c r="J102" s="1">
        <v>45520</v>
      </c>
      <c r="K102" t="s">
        <v>1054</v>
      </c>
      <c r="L102" t="s">
        <v>1051</v>
      </c>
      <c r="M102">
        <v>8</v>
      </c>
      <c r="N102" t="s">
        <v>1073</v>
      </c>
      <c r="O102">
        <v>8</v>
      </c>
      <c r="P102">
        <v>0</v>
      </c>
      <c r="Q102">
        <v>-8</v>
      </c>
      <c r="R102">
        <v>15.89</v>
      </c>
      <c r="S102">
        <v>0</v>
      </c>
      <c r="T102">
        <v>18.84</v>
      </c>
      <c r="U102">
        <v>-150.72</v>
      </c>
      <c r="V102">
        <v>39185.1</v>
      </c>
      <c r="W102" s="1">
        <v>44194</v>
      </c>
      <c r="X102" t="s">
        <v>152</v>
      </c>
    </row>
    <row r="103" spans="1:24" x14ac:dyDescent="0.3">
      <c r="A103" t="s">
        <v>1276</v>
      </c>
      <c r="B103" t="s">
        <v>280</v>
      </c>
      <c r="C103" t="s">
        <v>281</v>
      </c>
      <c r="D103" t="s">
        <v>35</v>
      </c>
      <c r="E103" t="s">
        <v>45</v>
      </c>
      <c r="F103" t="s">
        <v>66</v>
      </c>
      <c r="G103" t="s">
        <v>97</v>
      </c>
      <c r="H103">
        <v>1</v>
      </c>
      <c r="I103" t="s">
        <v>29</v>
      </c>
      <c r="J103" s="1">
        <v>45580</v>
      </c>
      <c r="K103" t="s">
        <v>1050</v>
      </c>
      <c r="L103" t="s">
        <v>1058</v>
      </c>
      <c r="M103">
        <v>6</v>
      </c>
      <c r="N103" t="s">
        <v>1052</v>
      </c>
      <c r="O103">
        <v>8</v>
      </c>
      <c r="P103">
        <v>8.0500000000000007</v>
      </c>
      <c r="Q103">
        <v>0.05</v>
      </c>
      <c r="R103">
        <v>16.75</v>
      </c>
      <c r="S103">
        <v>134.84</v>
      </c>
      <c r="T103">
        <v>18.77</v>
      </c>
      <c r="U103">
        <v>-15.32</v>
      </c>
      <c r="V103">
        <v>39039.29</v>
      </c>
      <c r="W103" s="1">
        <v>45505</v>
      </c>
      <c r="X103" t="s">
        <v>25</v>
      </c>
    </row>
    <row r="104" spans="1:24" x14ac:dyDescent="0.3">
      <c r="A104" t="s">
        <v>1104</v>
      </c>
      <c r="B104" t="s">
        <v>693</v>
      </c>
      <c r="C104" t="s">
        <v>694</v>
      </c>
      <c r="D104" t="s">
        <v>22</v>
      </c>
      <c r="E104" t="s">
        <v>260</v>
      </c>
      <c r="F104" t="s">
        <v>46</v>
      </c>
      <c r="G104" t="s">
        <v>47</v>
      </c>
      <c r="H104">
        <v>4</v>
      </c>
      <c r="I104" t="s">
        <v>29</v>
      </c>
      <c r="J104" s="1">
        <v>45582</v>
      </c>
      <c r="K104" t="s">
        <v>1050</v>
      </c>
      <c r="L104" t="s">
        <v>1051</v>
      </c>
      <c r="M104">
        <v>8</v>
      </c>
      <c r="N104" t="s">
        <v>1052</v>
      </c>
      <c r="O104">
        <v>8</v>
      </c>
      <c r="P104">
        <v>8.32</v>
      </c>
      <c r="Q104">
        <v>0.32</v>
      </c>
      <c r="R104">
        <v>24.44</v>
      </c>
      <c r="S104">
        <v>203.34</v>
      </c>
      <c r="T104">
        <v>22.54</v>
      </c>
      <c r="U104">
        <v>23.02</v>
      </c>
      <c r="V104">
        <v>46887.39</v>
      </c>
      <c r="W104" s="1">
        <v>44470</v>
      </c>
      <c r="X104" t="s">
        <v>152</v>
      </c>
    </row>
    <row r="105" spans="1:24" x14ac:dyDescent="0.3">
      <c r="A105" t="s">
        <v>1285</v>
      </c>
      <c r="B105" t="s">
        <v>693</v>
      </c>
      <c r="C105" t="s">
        <v>694</v>
      </c>
      <c r="D105" t="s">
        <v>22</v>
      </c>
      <c r="E105" t="s">
        <v>260</v>
      </c>
      <c r="F105" t="s">
        <v>46</v>
      </c>
      <c r="G105" t="s">
        <v>47</v>
      </c>
      <c r="H105">
        <v>4</v>
      </c>
      <c r="I105" t="s">
        <v>29</v>
      </c>
      <c r="J105" s="1">
        <v>45651</v>
      </c>
      <c r="K105" t="s">
        <v>1069</v>
      </c>
      <c r="L105" t="s">
        <v>1066</v>
      </c>
      <c r="M105">
        <v>14</v>
      </c>
      <c r="N105" t="s">
        <v>1052</v>
      </c>
      <c r="O105">
        <v>8</v>
      </c>
      <c r="P105">
        <v>8.32</v>
      </c>
      <c r="Q105">
        <v>0.32</v>
      </c>
      <c r="R105">
        <v>20.98</v>
      </c>
      <c r="S105">
        <v>174.55</v>
      </c>
      <c r="T105">
        <v>22.54</v>
      </c>
      <c r="U105">
        <v>-5.77</v>
      </c>
      <c r="V105">
        <v>46887.39</v>
      </c>
      <c r="W105" s="1">
        <v>44470</v>
      </c>
      <c r="X105" t="s">
        <v>152</v>
      </c>
    </row>
    <row r="106" spans="1:24" x14ac:dyDescent="0.3">
      <c r="A106" t="s">
        <v>1153</v>
      </c>
      <c r="B106" t="s">
        <v>289</v>
      </c>
      <c r="C106" t="s">
        <v>290</v>
      </c>
      <c r="D106" t="s">
        <v>73</v>
      </c>
      <c r="E106" t="s">
        <v>74</v>
      </c>
      <c r="F106" t="s">
        <v>46</v>
      </c>
      <c r="G106" t="s">
        <v>97</v>
      </c>
      <c r="H106">
        <v>4</v>
      </c>
      <c r="I106" t="s">
        <v>29</v>
      </c>
      <c r="J106" s="1">
        <v>45577</v>
      </c>
      <c r="K106" t="s">
        <v>1050</v>
      </c>
      <c r="L106" t="s">
        <v>1058</v>
      </c>
      <c r="M106">
        <v>6</v>
      </c>
      <c r="N106" t="s">
        <v>1060</v>
      </c>
      <c r="O106">
        <v>8</v>
      </c>
      <c r="P106">
        <v>5.58</v>
      </c>
      <c r="Q106">
        <v>-2.42</v>
      </c>
      <c r="R106">
        <v>23.55</v>
      </c>
      <c r="S106">
        <v>131.41</v>
      </c>
      <c r="T106">
        <v>16.47</v>
      </c>
      <c r="U106">
        <v>-0.35</v>
      </c>
      <c r="V106">
        <v>34248.68</v>
      </c>
      <c r="W106" s="1">
        <v>44669</v>
      </c>
      <c r="X106" t="s">
        <v>152</v>
      </c>
    </row>
    <row r="107" spans="1:24" x14ac:dyDescent="0.3">
      <c r="A107" t="s">
        <v>1105</v>
      </c>
      <c r="B107" t="s">
        <v>764</v>
      </c>
      <c r="C107" t="s">
        <v>765</v>
      </c>
      <c r="D107" t="s">
        <v>118</v>
      </c>
      <c r="E107" t="s">
        <v>119</v>
      </c>
      <c r="F107" t="s">
        <v>55</v>
      </c>
      <c r="G107" t="s">
        <v>24</v>
      </c>
      <c r="H107">
        <v>4</v>
      </c>
      <c r="I107" t="s">
        <v>29</v>
      </c>
      <c r="J107" s="1">
        <v>45557</v>
      </c>
      <c r="K107" t="s">
        <v>1057</v>
      </c>
      <c r="L107" t="s">
        <v>1051</v>
      </c>
      <c r="M107">
        <v>8</v>
      </c>
      <c r="N107" t="s">
        <v>1073</v>
      </c>
      <c r="O107">
        <v>8</v>
      </c>
      <c r="P107">
        <v>0</v>
      </c>
      <c r="Q107">
        <v>-8</v>
      </c>
      <c r="R107">
        <v>25</v>
      </c>
      <c r="S107">
        <v>0</v>
      </c>
      <c r="T107">
        <v>17.64</v>
      </c>
      <c r="U107">
        <v>-141.12</v>
      </c>
      <c r="V107">
        <v>36700.83</v>
      </c>
      <c r="W107" s="1">
        <v>44323</v>
      </c>
      <c r="X107" t="s">
        <v>152</v>
      </c>
    </row>
    <row r="108" spans="1:24" x14ac:dyDescent="0.3">
      <c r="A108" t="s">
        <v>1176</v>
      </c>
      <c r="B108" t="s">
        <v>764</v>
      </c>
      <c r="C108" t="s">
        <v>765</v>
      </c>
      <c r="D108" t="s">
        <v>118</v>
      </c>
      <c r="E108" t="s">
        <v>119</v>
      </c>
      <c r="F108" t="s">
        <v>55</v>
      </c>
      <c r="G108" t="s">
        <v>24</v>
      </c>
      <c r="H108">
        <v>4</v>
      </c>
      <c r="I108" t="s">
        <v>29</v>
      </c>
      <c r="J108" s="1">
        <v>45656</v>
      </c>
      <c r="K108" t="s">
        <v>1069</v>
      </c>
      <c r="L108" t="s">
        <v>1066</v>
      </c>
      <c r="M108">
        <v>14</v>
      </c>
      <c r="N108" t="s">
        <v>1052</v>
      </c>
      <c r="O108">
        <v>8</v>
      </c>
      <c r="P108">
        <v>7.9</v>
      </c>
      <c r="Q108">
        <v>-0.1</v>
      </c>
      <c r="R108">
        <v>24.33</v>
      </c>
      <c r="S108">
        <v>192.21</v>
      </c>
      <c r="T108">
        <v>17.64</v>
      </c>
      <c r="U108">
        <v>51.09</v>
      </c>
      <c r="V108">
        <v>36700.83</v>
      </c>
      <c r="W108" s="1">
        <v>44323</v>
      </c>
      <c r="X108" t="s">
        <v>152</v>
      </c>
    </row>
    <row r="109" spans="1:24" x14ac:dyDescent="0.3">
      <c r="A109" t="s">
        <v>1262</v>
      </c>
      <c r="B109" t="s">
        <v>764</v>
      </c>
      <c r="C109" t="s">
        <v>765</v>
      </c>
      <c r="D109" t="s">
        <v>118</v>
      </c>
      <c r="E109" t="s">
        <v>119</v>
      </c>
      <c r="F109" t="s">
        <v>55</v>
      </c>
      <c r="G109" t="s">
        <v>24</v>
      </c>
      <c r="H109">
        <v>4</v>
      </c>
      <c r="I109" t="s">
        <v>29</v>
      </c>
      <c r="J109" s="1">
        <v>45623</v>
      </c>
      <c r="K109" t="s">
        <v>1062</v>
      </c>
      <c r="L109" t="s">
        <v>1066</v>
      </c>
      <c r="M109">
        <v>14</v>
      </c>
      <c r="N109" t="s">
        <v>1063</v>
      </c>
      <c r="O109">
        <v>8</v>
      </c>
      <c r="P109">
        <v>0</v>
      </c>
      <c r="Q109">
        <v>-8</v>
      </c>
      <c r="R109">
        <v>21.86</v>
      </c>
      <c r="S109">
        <v>0</v>
      </c>
      <c r="T109">
        <v>17.64</v>
      </c>
      <c r="U109">
        <v>-141.12</v>
      </c>
      <c r="V109">
        <v>36700.83</v>
      </c>
      <c r="W109" s="1">
        <v>44323</v>
      </c>
      <c r="X109" t="s">
        <v>25</v>
      </c>
    </row>
    <row r="110" spans="1:24" x14ac:dyDescent="0.3">
      <c r="A110" t="s">
        <v>1106</v>
      </c>
      <c r="B110" t="s">
        <v>720</v>
      </c>
      <c r="C110" t="s">
        <v>721</v>
      </c>
      <c r="D110" t="s">
        <v>64</v>
      </c>
      <c r="E110" t="s">
        <v>65</v>
      </c>
      <c r="F110" t="s">
        <v>66</v>
      </c>
      <c r="G110" t="s">
        <v>47</v>
      </c>
      <c r="H110">
        <v>2</v>
      </c>
      <c r="I110" t="s">
        <v>29</v>
      </c>
      <c r="J110" s="1">
        <v>45586</v>
      </c>
      <c r="K110" t="s">
        <v>1050</v>
      </c>
      <c r="L110" t="s">
        <v>1055</v>
      </c>
      <c r="M110">
        <v>22</v>
      </c>
      <c r="N110" t="s">
        <v>1052</v>
      </c>
      <c r="O110">
        <v>8</v>
      </c>
      <c r="P110">
        <v>8.31</v>
      </c>
      <c r="Q110">
        <v>0.31</v>
      </c>
      <c r="R110">
        <v>13.79</v>
      </c>
      <c r="S110">
        <v>114.59</v>
      </c>
      <c r="T110">
        <v>17.149999999999999</v>
      </c>
      <c r="U110">
        <v>-22.61</v>
      </c>
      <c r="V110">
        <v>35674.910000000003</v>
      </c>
      <c r="W110" s="1">
        <v>45160</v>
      </c>
      <c r="X110" t="s">
        <v>25</v>
      </c>
    </row>
    <row r="111" spans="1:24" x14ac:dyDescent="0.3">
      <c r="A111" t="s">
        <v>1160</v>
      </c>
      <c r="B111" t="s">
        <v>720</v>
      </c>
      <c r="C111" t="s">
        <v>721</v>
      </c>
      <c r="D111" t="s">
        <v>64</v>
      </c>
      <c r="E111" t="s">
        <v>65</v>
      </c>
      <c r="F111" t="s">
        <v>66</v>
      </c>
      <c r="G111" t="s">
        <v>47</v>
      </c>
      <c r="H111">
        <v>2</v>
      </c>
      <c r="I111" t="s">
        <v>29</v>
      </c>
      <c r="J111" s="1">
        <v>45610</v>
      </c>
      <c r="K111" t="s">
        <v>1062</v>
      </c>
      <c r="L111" t="s">
        <v>1058</v>
      </c>
      <c r="M111">
        <v>6</v>
      </c>
      <c r="N111" t="s">
        <v>1063</v>
      </c>
      <c r="O111">
        <v>8</v>
      </c>
      <c r="P111">
        <v>0</v>
      </c>
      <c r="Q111">
        <v>-8</v>
      </c>
      <c r="R111">
        <v>25.98</v>
      </c>
      <c r="S111">
        <v>0</v>
      </c>
      <c r="T111">
        <v>17.149999999999999</v>
      </c>
      <c r="U111">
        <v>-137.19999999999999</v>
      </c>
      <c r="V111">
        <v>35674.910000000003</v>
      </c>
      <c r="W111" s="1">
        <v>45160</v>
      </c>
      <c r="X111" t="s">
        <v>152</v>
      </c>
    </row>
    <row r="112" spans="1:24" x14ac:dyDescent="0.3">
      <c r="A112" t="s">
        <v>1142</v>
      </c>
      <c r="B112" t="s">
        <v>297</v>
      </c>
      <c r="C112" t="s">
        <v>298</v>
      </c>
      <c r="D112" t="s">
        <v>224</v>
      </c>
      <c r="E112" t="s">
        <v>225</v>
      </c>
      <c r="F112" t="s">
        <v>66</v>
      </c>
      <c r="G112" t="s">
        <v>37</v>
      </c>
      <c r="H112">
        <v>6</v>
      </c>
      <c r="I112" t="s">
        <v>29</v>
      </c>
      <c r="J112" s="1">
        <v>45630</v>
      </c>
      <c r="K112" t="s">
        <v>1069</v>
      </c>
      <c r="L112" t="s">
        <v>1058</v>
      </c>
      <c r="M112">
        <v>6</v>
      </c>
      <c r="N112" t="s">
        <v>1052</v>
      </c>
      <c r="O112">
        <v>8</v>
      </c>
      <c r="P112">
        <v>7.79</v>
      </c>
      <c r="Q112">
        <v>-0.21</v>
      </c>
      <c r="R112">
        <v>25.7</v>
      </c>
      <c r="S112">
        <v>200.2</v>
      </c>
      <c r="T112">
        <v>13.78</v>
      </c>
      <c r="U112">
        <v>89.96</v>
      </c>
      <c r="V112">
        <v>28664.06</v>
      </c>
      <c r="W112" s="1">
        <v>43693</v>
      </c>
      <c r="X112" t="s">
        <v>25</v>
      </c>
    </row>
    <row r="113" spans="1:24" x14ac:dyDescent="0.3">
      <c r="A113" t="s">
        <v>1217</v>
      </c>
      <c r="B113" t="s">
        <v>297</v>
      </c>
      <c r="C113" t="s">
        <v>298</v>
      </c>
      <c r="D113" t="s">
        <v>224</v>
      </c>
      <c r="E113" t="s">
        <v>225</v>
      </c>
      <c r="F113" t="s">
        <v>66</v>
      </c>
      <c r="G113" t="s">
        <v>37</v>
      </c>
      <c r="H113">
        <v>6</v>
      </c>
      <c r="I113" t="s">
        <v>29</v>
      </c>
      <c r="J113" s="1">
        <v>45553</v>
      </c>
      <c r="K113" t="s">
        <v>1057</v>
      </c>
      <c r="L113" t="s">
        <v>1051</v>
      </c>
      <c r="M113">
        <v>8</v>
      </c>
      <c r="N113" t="s">
        <v>1052</v>
      </c>
      <c r="O113">
        <v>8</v>
      </c>
      <c r="P113">
        <v>8.0399999999999991</v>
      </c>
      <c r="Q113">
        <v>0.04</v>
      </c>
      <c r="R113">
        <v>14.19</v>
      </c>
      <c r="S113">
        <v>114.09</v>
      </c>
      <c r="T113">
        <v>13.78</v>
      </c>
      <c r="U113">
        <v>3.85</v>
      </c>
      <c r="V113">
        <v>28664.06</v>
      </c>
      <c r="W113" s="1">
        <v>43693</v>
      </c>
      <c r="X113" t="s">
        <v>152</v>
      </c>
    </row>
    <row r="114" spans="1:24" x14ac:dyDescent="0.3">
      <c r="A114" t="s">
        <v>1113</v>
      </c>
      <c r="B114" t="s">
        <v>306</v>
      </c>
      <c r="C114" t="s">
        <v>307</v>
      </c>
      <c r="D114" t="s">
        <v>95</v>
      </c>
      <c r="E114" t="s">
        <v>96</v>
      </c>
      <c r="F114" t="s">
        <v>23</v>
      </c>
      <c r="G114" t="s">
        <v>24</v>
      </c>
      <c r="H114">
        <v>2</v>
      </c>
      <c r="I114" t="s">
        <v>58</v>
      </c>
      <c r="J114" s="1">
        <v>45518</v>
      </c>
      <c r="K114" t="s">
        <v>1054</v>
      </c>
      <c r="L114" t="s">
        <v>1058</v>
      </c>
      <c r="M114">
        <v>6</v>
      </c>
      <c r="N114" t="s">
        <v>1052</v>
      </c>
      <c r="O114">
        <v>8</v>
      </c>
      <c r="P114">
        <v>7.84</v>
      </c>
      <c r="Q114">
        <v>-0.16</v>
      </c>
      <c r="R114">
        <v>13.98</v>
      </c>
      <c r="S114">
        <v>109.6</v>
      </c>
      <c r="T114">
        <v>16.86</v>
      </c>
      <c r="U114">
        <v>-25.28</v>
      </c>
      <c r="V114">
        <v>35073.57</v>
      </c>
      <c r="W114" s="1">
        <v>45388</v>
      </c>
      <c r="X114" t="s">
        <v>25</v>
      </c>
    </row>
    <row r="115" spans="1:24" x14ac:dyDescent="0.3">
      <c r="A115" t="s">
        <v>1109</v>
      </c>
      <c r="B115" t="s">
        <v>697</v>
      </c>
      <c r="C115" t="s">
        <v>698</v>
      </c>
      <c r="D115" t="s">
        <v>132</v>
      </c>
      <c r="E115" t="s">
        <v>133</v>
      </c>
      <c r="F115" t="s">
        <v>23</v>
      </c>
      <c r="G115" t="s">
        <v>97</v>
      </c>
      <c r="H115">
        <v>1</v>
      </c>
      <c r="I115" t="s">
        <v>29</v>
      </c>
      <c r="J115" s="1">
        <v>45571</v>
      </c>
      <c r="K115" t="s">
        <v>1050</v>
      </c>
      <c r="L115" t="s">
        <v>1066</v>
      </c>
      <c r="M115">
        <v>14</v>
      </c>
      <c r="N115" t="s">
        <v>1060</v>
      </c>
      <c r="O115">
        <v>8</v>
      </c>
      <c r="P115">
        <v>6.88</v>
      </c>
      <c r="Q115">
        <v>-1.1200000000000001</v>
      </c>
      <c r="R115">
        <v>18.61</v>
      </c>
      <c r="S115">
        <v>128.04</v>
      </c>
      <c r="T115">
        <v>24.22</v>
      </c>
      <c r="U115">
        <v>-65.72</v>
      </c>
      <c r="V115">
        <v>50367.96</v>
      </c>
      <c r="W115" s="1">
        <v>45562</v>
      </c>
      <c r="X115" t="s">
        <v>25</v>
      </c>
    </row>
    <row r="116" spans="1:24" x14ac:dyDescent="0.3">
      <c r="A116" t="s">
        <v>1170</v>
      </c>
      <c r="B116" t="s">
        <v>310</v>
      </c>
      <c r="C116" t="s">
        <v>311</v>
      </c>
      <c r="D116" t="s">
        <v>224</v>
      </c>
      <c r="E116" t="s">
        <v>313</v>
      </c>
      <c r="F116" t="s">
        <v>46</v>
      </c>
      <c r="G116" t="s">
        <v>37</v>
      </c>
      <c r="H116">
        <v>5</v>
      </c>
      <c r="I116" t="s">
        <v>58</v>
      </c>
      <c r="J116" s="1">
        <v>45502</v>
      </c>
      <c r="K116" t="s">
        <v>1065</v>
      </c>
      <c r="L116" t="s">
        <v>1055</v>
      </c>
      <c r="M116">
        <v>22</v>
      </c>
      <c r="N116" t="s">
        <v>1052</v>
      </c>
      <c r="O116">
        <v>8</v>
      </c>
      <c r="P116">
        <v>8.27</v>
      </c>
      <c r="Q116">
        <v>0.27</v>
      </c>
      <c r="R116">
        <v>27.41</v>
      </c>
      <c r="S116">
        <v>226.68</v>
      </c>
      <c r="T116">
        <v>14.7</v>
      </c>
      <c r="U116">
        <v>109.08</v>
      </c>
      <c r="V116">
        <v>30575.38</v>
      </c>
      <c r="W116" s="1">
        <v>44015</v>
      </c>
      <c r="X116" t="s">
        <v>152</v>
      </c>
    </row>
    <row r="117" spans="1:24" x14ac:dyDescent="0.3">
      <c r="A117" t="s">
        <v>1141</v>
      </c>
      <c r="B117" t="s">
        <v>320</v>
      </c>
      <c r="C117" t="s">
        <v>321</v>
      </c>
      <c r="D117" t="s">
        <v>118</v>
      </c>
      <c r="E117" t="s">
        <v>218</v>
      </c>
      <c r="F117" t="s">
        <v>66</v>
      </c>
      <c r="G117" t="s">
        <v>24</v>
      </c>
      <c r="H117">
        <v>3</v>
      </c>
      <c r="I117" t="s">
        <v>29</v>
      </c>
      <c r="J117" s="1">
        <v>45501</v>
      </c>
      <c r="K117" t="s">
        <v>1065</v>
      </c>
      <c r="L117" t="s">
        <v>1055</v>
      </c>
      <c r="M117">
        <v>22</v>
      </c>
      <c r="N117" t="s">
        <v>1052</v>
      </c>
      <c r="O117">
        <v>8</v>
      </c>
      <c r="P117">
        <v>8.49</v>
      </c>
      <c r="Q117">
        <v>0.49</v>
      </c>
      <c r="R117">
        <v>18.21</v>
      </c>
      <c r="S117">
        <v>154.6</v>
      </c>
      <c r="T117">
        <v>21.51</v>
      </c>
      <c r="U117">
        <v>-17.48</v>
      </c>
      <c r="V117">
        <v>44730.42</v>
      </c>
      <c r="W117" s="1">
        <v>44789</v>
      </c>
      <c r="X117" t="s">
        <v>25</v>
      </c>
    </row>
    <row r="118" spans="1:24" x14ac:dyDescent="0.3">
      <c r="A118" t="s">
        <v>1189</v>
      </c>
      <c r="B118" t="s">
        <v>320</v>
      </c>
      <c r="C118" t="s">
        <v>321</v>
      </c>
      <c r="D118" t="s">
        <v>118</v>
      </c>
      <c r="E118" t="s">
        <v>218</v>
      </c>
      <c r="F118" t="s">
        <v>66</v>
      </c>
      <c r="G118" t="s">
        <v>24</v>
      </c>
      <c r="H118">
        <v>3</v>
      </c>
      <c r="I118" t="s">
        <v>29</v>
      </c>
      <c r="J118" s="1">
        <v>45579</v>
      </c>
      <c r="K118" t="s">
        <v>1050</v>
      </c>
      <c r="L118" t="s">
        <v>1058</v>
      </c>
      <c r="M118">
        <v>6</v>
      </c>
      <c r="N118" t="s">
        <v>1052</v>
      </c>
      <c r="O118">
        <v>8</v>
      </c>
      <c r="P118">
        <v>8.42</v>
      </c>
      <c r="Q118">
        <v>0.42</v>
      </c>
      <c r="R118">
        <v>11.39</v>
      </c>
      <c r="S118">
        <v>95.9</v>
      </c>
      <c r="T118">
        <v>21.51</v>
      </c>
      <c r="U118">
        <v>-76.180000000000007</v>
      </c>
      <c r="V118">
        <v>44730.42</v>
      </c>
      <c r="W118" s="1">
        <v>44789</v>
      </c>
      <c r="X118" t="s">
        <v>152</v>
      </c>
    </row>
    <row r="119" spans="1:24" x14ac:dyDescent="0.3">
      <c r="A119" t="s">
        <v>1238</v>
      </c>
      <c r="B119" t="s">
        <v>320</v>
      </c>
      <c r="C119" t="s">
        <v>321</v>
      </c>
      <c r="D119" t="s">
        <v>118</v>
      </c>
      <c r="E119" t="s">
        <v>218</v>
      </c>
      <c r="F119" t="s">
        <v>66</v>
      </c>
      <c r="G119" t="s">
        <v>24</v>
      </c>
      <c r="H119">
        <v>3</v>
      </c>
      <c r="I119" t="s">
        <v>29</v>
      </c>
      <c r="J119" s="1">
        <v>45631</v>
      </c>
      <c r="K119" t="s">
        <v>1069</v>
      </c>
      <c r="L119" t="s">
        <v>1058</v>
      </c>
      <c r="M119">
        <v>6</v>
      </c>
      <c r="N119" t="s">
        <v>1052</v>
      </c>
      <c r="O119">
        <v>8</v>
      </c>
      <c r="P119">
        <v>8.1199999999999992</v>
      </c>
      <c r="Q119">
        <v>0.12</v>
      </c>
      <c r="R119">
        <v>11.6</v>
      </c>
      <c r="S119">
        <v>94.19</v>
      </c>
      <c r="T119">
        <v>21.51</v>
      </c>
      <c r="U119">
        <v>-77.89</v>
      </c>
      <c r="V119">
        <v>44730.42</v>
      </c>
      <c r="W119" s="1">
        <v>44789</v>
      </c>
      <c r="X119" t="s">
        <v>152</v>
      </c>
    </row>
    <row r="120" spans="1:24" x14ac:dyDescent="0.3">
      <c r="A120" t="s">
        <v>1242</v>
      </c>
      <c r="B120" t="s">
        <v>330</v>
      </c>
      <c r="C120" t="s">
        <v>331</v>
      </c>
      <c r="D120" t="s">
        <v>95</v>
      </c>
      <c r="E120" t="s">
        <v>162</v>
      </c>
      <c r="F120" t="s">
        <v>23</v>
      </c>
      <c r="G120" t="s">
        <v>47</v>
      </c>
      <c r="H120">
        <v>4</v>
      </c>
      <c r="I120" t="s">
        <v>58</v>
      </c>
      <c r="J120" s="1">
        <v>45478</v>
      </c>
      <c r="K120" t="s">
        <v>1065</v>
      </c>
      <c r="L120" t="s">
        <v>1058</v>
      </c>
      <c r="M120">
        <v>6</v>
      </c>
      <c r="N120" t="s">
        <v>1052</v>
      </c>
      <c r="O120">
        <v>8</v>
      </c>
      <c r="P120">
        <v>8.1999999999999993</v>
      </c>
      <c r="Q120">
        <v>0.2</v>
      </c>
      <c r="R120">
        <v>22.64</v>
      </c>
      <c r="S120">
        <v>185.65</v>
      </c>
      <c r="T120">
        <v>11.77</v>
      </c>
      <c r="U120">
        <v>91.49</v>
      </c>
      <c r="V120">
        <v>24477.57</v>
      </c>
      <c r="W120" s="1">
        <v>44380</v>
      </c>
      <c r="X120" t="s">
        <v>152</v>
      </c>
    </row>
    <row r="121" spans="1:24" x14ac:dyDescent="0.3">
      <c r="A121" t="s">
        <v>1248</v>
      </c>
      <c r="B121" t="s">
        <v>330</v>
      </c>
      <c r="C121" t="s">
        <v>331</v>
      </c>
      <c r="D121" t="s">
        <v>95</v>
      </c>
      <c r="E121" t="s">
        <v>162</v>
      </c>
      <c r="F121" t="s">
        <v>23</v>
      </c>
      <c r="G121" t="s">
        <v>47</v>
      </c>
      <c r="H121">
        <v>4</v>
      </c>
      <c r="I121" t="s">
        <v>58</v>
      </c>
      <c r="J121" s="1">
        <v>45651</v>
      </c>
      <c r="K121" t="s">
        <v>1069</v>
      </c>
      <c r="L121" t="s">
        <v>1066</v>
      </c>
      <c r="M121">
        <v>14</v>
      </c>
      <c r="N121" t="s">
        <v>1060</v>
      </c>
      <c r="O121">
        <v>8</v>
      </c>
      <c r="P121">
        <v>6.47</v>
      </c>
      <c r="Q121">
        <v>-1.53</v>
      </c>
      <c r="R121">
        <v>23.12</v>
      </c>
      <c r="S121">
        <v>149.59</v>
      </c>
      <c r="T121">
        <v>11.77</v>
      </c>
      <c r="U121">
        <v>55.43</v>
      </c>
      <c r="V121">
        <v>24477.57</v>
      </c>
      <c r="W121" s="1">
        <v>44380</v>
      </c>
      <c r="X121" t="s">
        <v>152</v>
      </c>
    </row>
    <row r="122" spans="1:24" x14ac:dyDescent="0.3">
      <c r="A122" t="s">
        <v>1114</v>
      </c>
      <c r="B122" t="s">
        <v>409</v>
      </c>
      <c r="C122" t="s">
        <v>410</v>
      </c>
      <c r="D122" t="s">
        <v>118</v>
      </c>
      <c r="E122" t="s">
        <v>119</v>
      </c>
      <c r="F122" t="s">
        <v>46</v>
      </c>
      <c r="G122" t="s">
        <v>24</v>
      </c>
      <c r="H122">
        <v>1</v>
      </c>
      <c r="I122" t="s">
        <v>29</v>
      </c>
      <c r="J122" s="1">
        <v>45575</v>
      </c>
      <c r="K122" t="s">
        <v>1050</v>
      </c>
      <c r="L122" t="s">
        <v>1051</v>
      </c>
      <c r="M122">
        <v>8</v>
      </c>
      <c r="N122" t="s">
        <v>1052</v>
      </c>
      <c r="O122">
        <v>8</v>
      </c>
      <c r="P122">
        <v>7.88</v>
      </c>
      <c r="Q122">
        <v>-0.12</v>
      </c>
      <c r="R122">
        <v>17.43</v>
      </c>
      <c r="S122">
        <v>137.35</v>
      </c>
      <c r="T122">
        <v>16.420000000000002</v>
      </c>
      <c r="U122">
        <v>5.99</v>
      </c>
      <c r="V122">
        <v>34158.339999999997</v>
      </c>
      <c r="W122" s="1">
        <v>45412</v>
      </c>
      <c r="X122" t="s">
        <v>25</v>
      </c>
    </row>
    <row r="123" spans="1:24" x14ac:dyDescent="0.3">
      <c r="A123" t="s">
        <v>1197</v>
      </c>
      <c r="B123" t="s">
        <v>409</v>
      </c>
      <c r="C123" t="s">
        <v>410</v>
      </c>
      <c r="D123" t="s">
        <v>118</v>
      </c>
      <c r="E123" t="s">
        <v>119</v>
      </c>
      <c r="F123" t="s">
        <v>46</v>
      </c>
      <c r="G123" t="s">
        <v>24</v>
      </c>
      <c r="H123">
        <v>1</v>
      </c>
      <c r="I123" t="s">
        <v>29</v>
      </c>
      <c r="J123" s="1">
        <v>45489</v>
      </c>
      <c r="K123" t="s">
        <v>1065</v>
      </c>
      <c r="L123" t="s">
        <v>1066</v>
      </c>
      <c r="M123">
        <v>14</v>
      </c>
      <c r="N123" t="s">
        <v>1052</v>
      </c>
      <c r="O123">
        <v>8</v>
      </c>
      <c r="P123">
        <v>7.81</v>
      </c>
      <c r="Q123">
        <v>-0.19</v>
      </c>
      <c r="R123">
        <v>12.5</v>
      </c>
      <c r="S123">
        <v>97.62</v>
      </c>
      <c r="T123">
        <v>16.420000000000002</v>
      </c>
      <c r="U123">
        <v>-33.74</v>
      </c>
      <c r="V123">
        <v>34158.339999999997</v>
      </c>
      <c r="W123" s="1">
        <v>45412</v>
      </c>
      <c r="X123" t="s">
        <v>152</v>
      </c>
    </row>
    <row r="124" spans="1:24" x14ac:dyDescent="0.3">
      <c r="A124" t="s">
        <v>1166</v>
      </c>
      <c r="B124" t="s">
        <v>335</v>
      </c>
      <c r="C124" t="s">
        <v>336</v>
      </c>
      <c r="D124" t="s">
        <v>224</v>
      </c>
      <c r="E124" t="s">
        <v>313</v>
      </c>
      <c r="F124" t="s">
        <v>66</v>
      </c>
      <c r="G124" t="s">
        <v>97</v>
      </c>
      <c r="H124">
        <v>3</v>
      </c>
      <c r="I124" t="s">
        <v>58</v>
      </c>
      <c r="J124" s="1">
        <v>45625</v>
      </c>
      <c r="K124" t="s">
        <v>1062</v>
      </c>
      <c r="L124" t="s">
        <v>1058</v>
      </c>
      <c r="M124">
        <v>6</v>
      </c>
      <c r="N124" t="s">
        <v>1073</v>
      </c>
      <c r="O124">
        <v>8</v>
      </c>
      <c r="P124">
        <v>0</v>
      </c>
      <c r="Q124">
        <v>-8</v>
      </c>
      <c r="R124">
        <v>10.71</v>
      </c>
      <c r="S124">
        <v>0</v>
      </c>
      <c r="T124">
        <v>26.22</v>
      </c>
      <c r="U124">
        <v>-209.76</v>
      </c>
      <c r="V124">
        <v>54543.11</v>
      </c>
      <c r="W124" s="1">
        <v>45016</v>
      </c>
      <c r="X124" t="s">
        <v>152</v>
      </c>
    </row>
    <row r="125" spans="1:24" x14ac:dyDescent="0.3">
      <c r="A125" t="s">
        <v>1115</v>
      </c>
      <c r="B125" t="s">
        <v>785</v>
      </c>
      <c r="C125" t="s">
        <v>786</v>
      </c>
      <c r="D125" t="s">
        <v>22</v>
      </c>
      <c r="E125" t="s">
        <v>260</v>
      </c>
      <c r="F125" t="s">
        <v>46</v>
      </c>
      <c r="G125" t="s">
        <v>37</v>
      </c>
      <c r="H125">
        <v>4</v>
      </c>
      <c r="I125" t="s">
        <v>58</v>
      </c>
      <c r="J125" s="1">
        <v>45482</v>
      </c>
      <c r="K125" t="s">
        <v>1065</v>
      </c>
      <c r="L125" t="s">
        <v>1051</v>
      </c>
      <c r="M125">
        <v>8</v>
      </c>
      <c r="N125" t="s">
        <v>1052</v>
      </c>
      <c r="O125">
        <v>8</v>
      </c>
      <c r="P125">
        <v>7.87</v>
      </c>
      <c r="Q125">
        <v>-0.13</v>
      </c>
      <c r="R125">
        <v>13.26</v>
      </c>
      <c r="S125">
        <v>104.36</v>
      </c>
      <c r="T125">
        <v>15.98</v>
      </c>
      <c r="U125">
        <v>-23.48</v>
      </c>
      <c r="V125">
        <v>33243.71</v>
      </c>
      <c r="W125" s="1">
        <v>44501</v>
      </c>
      <c r="X125" t="s">
        <v>152</v>
      </c>
    </row>
    <row r="126" spans="1:24" x14ac:dyDescent="0.3">
      <c r="A126" t="s">
        <v>1255</v>
      </c>
      <c r="B126" t="s">
        <v>785</v>
      </c>
      <c r="C126" t="s">
        <v>786</v>
      </c>
      <c r="D126" t="s">
        <v>22</v>
      </c>
      <c r="E126" t="s">
        <v>260</v>
      </c>
      <c r="F126" t="s">
        <v>46</v>
      </c>
      <c r="G126" t="s">
        <v>37</v>
      </c>
      <c r="H126">
        <v>4</v>
      </c>
      <c r="I126" t="s">
        <v>58</v>
      </c>
      <c r="J126" s="1">
        <v>45507</v>
      </c>
      <c r="K126" t="s">
        <v>1054</v>
      </c>
      <c r="L126" t="s">
        <v>1066</v>
      </c>
      <c r="M126">
        <v>14</v>
      </c>
      <c r="N126" t="s">
        <v>1073</v>
      </c>
      <c r="O126">
        <v>8</v>
      </c>
      <c r="P126">
        <v>0</v>
      </c>
      <c r="Q126">
        <v>-8</v>
      </c>
      <c r="R126">
        <v>17.809999999999999</v>
      </c>
      <c r="S126">
        <v>0</v>
      </c>
      <c r="T126">
        <v>15.98</v>
      </c>
      <c r="U126">
        <v>-127.84</v>
      </c>
      <c r="V126">
        <v>33243.71</v>
      </c>
      <c r="W126" s="1">
        <v>44501</v>
      </c>
      <c r="X126" t="s">
        <v>25</v>
      </c>
    </row>
    <row r="127" spans="1:24" x14ac:dyDescent="0.3">
      <c r="A127" t="s">
        <v>1116</v>
      </c>
      <c r="B127" t="s">
        <v>987</v>
      </c>
      <c r="C127" t="s">
        <v>988</v>
      </c>
      <c r="D127" t="s">
        <v>64</v>
      </c>
      <c r="E127" t="s">
        <v>65</v>
      </c>
      <c r="F127" t="s">
        <v>66</v>
      </c>
      <c r="G127" t="s">
        <v>47</v>
      </c>
      <c r="H127">
        <v>2</v>
      </c>
      <c r="I127" t="s">
        <v>58</v>
      </c>
      <c r="J127" s="1">
        <v>45643</v>
      </c>
      <c r="K127" t="s">
        <v>1069</v>
      </c>
      <c r="L127" t="s">
        <v>1058</v>
      </c>
      <c r="M127">
        <v>6</v>
      </c>
      <c r="N127" t="s">
        <v>1063</v>
      </c>
      <c r="O127">
        <v>8</v>
      </c>
      <c r="P127">
        <v>0</v>
      </c>
      <c r="Q127">
        <v>-8</v>
      </c>
      <c r="R127">
        <v>12.7</v>
      </c>
      <c r="S127">
        <v>0</v>
      </c>
      <c r="T127">
        <v>11.52</v>
      </c>
      <c r="U127">
        <v>-92.16</v>
      </c>
      <c r="V127">
        <v>23955.31</v>
      </c>
      <c r="W127" s="1">
        <v>45176</v>
      </c>
      <c r="X127" t="s">
        <v>152</v>
      </c>
    </row>
    <row r="128" spans="1:24" x14ac:dyDescent="0.3">
      <c r="A128" t="s">
        <v>1263</v>
      </c>
      <c r="B128" t="s">
        <v>987</v>
      </c>
      <c r="C128" t="s">
        <v>988</v>
      </c>
      <c r="D128" t="s">
        <v>64</v>
      </c>
      <c r="E128" t="s">
        <v>65</v>
      </c>
      <c r="F128" t="s">
        <v>66</v>
      </c>
      <c r="G128" t="s">
        <v>47</v>
      </c>
      <c r="H128">
        <v>2</v>
      </c>
      <c r="I128" t="s">
        <v>58</v>
      </c>
      <c r="J128" s="1">
        <v>45576</v>
      </c>
      <c r="K128" t="s">
        <v>1050</v>
      </c>
      <c r="L128" t="s">
        <v>1066</v>
      </c>
      <c r="M128">
        <v>14</v>
      </c>
      <c r="N128" t="s">
        <v>1063</v>
      </c>
      <c r="O128">
        <v>8</v>
      </c>
      <c r="P128">
        <v>0</v>
      </c>
      <c r="Q128">
        <v>-8</v>
      </c>
      <c r="R128">
        <v>15.35</v>
      </c>
      <c r="S128">
        <v>0</v>
      </c>
      <c r="T128">
        <v>11.52</v>
      </c>
      <c r="U128">
        <v>-92.16</v>
      </c>
      <c r="V128">
        <v>23955.31</v>
      </c>
      <c r="W128" s="1">
        <v>45176</v>
      </c>
      <c r="X128" t="s">
        <v>152</v>
      </c>
    </row>
    <row r="129" spans="1:24" x14ac:dyDescent="0.3">
      <c r="A129" t="s">
        <v>1121</v>
      </c>
      <c r="B129" t="s">
        <v>350</v>
      </c>
      <c r="C129" t="s">
        <v>351</v>
      </c>
      <c r="D129" t="s">
        <v>35</v>
      </c>
      <c r="E129" t="s">
        <v>45</v>
      </c>
      <c r="F129" t="s">
        <v>46</v>
      </c>
      <c r="G129" t="s">
        <v>24</v>
      </c>
      <c r="H129">
        <v>1</v>
      </c>
      <c r="I129" t="s">
        <v>29</v>
      </c>
      <c r="J129" s="1">
        <v>45517</v>
      </c>
      <c r="K129" t="s">
        <v>1054</v>
      </c>
      <c r="L129" t="s">
        <v>1051</v>
      </c>
      <c r="M129">
        <v>8</v>
      </c>
      <c r="N129" t="s">
        <v>1073</v>
      </c>
      <c r="O129">
        <v>8</v>
      </c>
      <c r="P129">
        <v>0</v>
      </c>
      <c r="Q129">
        <v>-8</v>
      </c>
      <c r="R129">
        <v>16.149999999999999</v>
      </c>
      <c r="S129">
        <v>0</v>
      </c>
      <c r="T129">
        <v>16.98</v>
      </c>
      <c r="U129">
        <v>-135.84</v>
      </c>
      <c r="V129">
        <v>35328.26</v>
      </c>
      <c r="W129" s="1">
        <v>45474</v>
      </c>
      <c r="X129" t="s">
        <v>152</v>
      </c>
    </row>
    <row r="130" spans="1:24" x14ac:dyDescent="0.3">
      <c r="A130" t="s">
        <v>1154</v>
      </c>
      <c r="B130" t="s">
        <v>350</v>
      </c>
      <c r="C130" t="s">
        <v>351</v>
      </c>
      <c r="D130" t="s">
        <v>35</v>
      </c>
      <c r="E130" t="s">
        <v>45</v>
      </c>
      <c r="F130" t="s">
        <v>46</v>
      </c>
      <c r="G130" t="s">
        <v>24</v>
      </c>
      <c r="H130">
        <v>1</v>
      </c>
      <c r="I130" t="s">
        <v>29</v>
      </c>
      <c r="J130" s="1">
        <v>45625</v>
      </c>
      <c r="K130" t="s">
        <v>1062</v>
      </c>
      <c r="L130" t="s">
        <v>1058</v>
      </c>
      <c r="M130">
        <v>6</v>
      </c>
      <c r="N130" t="s">
        <v>1073</v>
      </c>
      <c r="O130">
        <v>8</v>
      </c>
      <c r="P130">
        <v>0</v>
      </c>
      <c r="Q130">
        <v>-8</v>
      </c>
      <c r="R130">
        <v>21.1</v>
      </c>
      <c r="S130">
        <v>0</v>
      </c>
      <c r="T130">
        <v>16.98</v>
      </c>
      <c r="U130">
        <v>-135.84</v>
      </c>
      <c r="V130">
        <v>35328.26</v>
      </c>
      <c r="W130" s="1">
        <v>45474</v>
      </c>
      <c r="X130" t="s">
        <v>25</v>
      </c>
    </row>
    <row r="131" spans="1:24" x14ac:dyDescent="0.3">
      <c r="A131" t="s">
        <v>1118</v>
      </c>
      <c r="B131" t="s">
        <v>640</v>
      </c>
      <c r="C131" t="s">
        <v>641</v>
      </c>
      <c r="D131" t="s">
        <v>64</v>
      </c>
      <c r="E131" t="s">
        <v>65</v>
      </c>
      <c r="F131" t="s">
        <v>55</v>
      </c>
      <c r="G131" t="s">
        <v>24</v>
      </c>
      <c r="H131">
        <v>3</v>
      </c>
      <c r="I131" t="s">
        <v>29</v>
      </c>
      <c r="J131" s="1">
        <v>45520</v>
      </c>
      <c r="K131" t="s">
        <v>1054</v>
      </c>
      <c r="L131" t="s">
        <v>1055</v>
      </c>
      <c r="M131">
        <v>22</v>
      </c>
      <c r="N131" t="s">
        <v>1052</v>
      </c>
      <c r="O131">
        <v>8</v>
      </c>
      <c r="P131">
        <v>8.1199999999999992</v>
      </c>
      <c r="Q131">
        <v>0.12</v>
      </c>
      <c r="R131">
        <v>20.010000000000002</v>
      </c>
      <c r="S131">
        <v>162.47999999999999</v>
      </c>
      <c r="T131">
        <v>25.43</v>
      </c>
      <c r="U131">
        <v>-40.96</v>
      </c>
      <c r="V131">
        <v>52889.53</v>
      </c>
      <c r="W131" s="1">
        <v>44718</v>
      </c>
      <c r="X131" t="s">
        <v>152</v>
      </c>
    </row>
    <row r="132" spans="1:24" x14ac:dyDescent="0.3">
      <c r="A132" t="s">
        <v>1272</v>
      </c>
      <c r="B132" t="s">
        <v>640</v>
      </c>
      <c r="C132" t="s">
        <v>641</v>
      </c>
      <c r="D132" t="s">
        <v>64</v>
      </c>
      <c r="E132" t="s">
        <v>65</v>
      </c>
      <c r="F132" t="s">
        <v>55</v>
      </c>
      <c r="G132" t="s">
        <v>24</v>
      </c>
      <c r="H132">
        <v>3</v>
      </c>
      <c r="I132" t="s">
        <v>29</v>
      </c>
      <c r="J132" s="1">
        <v>45564</v>
      </c>
      <c r="K132" t="s">
        <v>1057</v>
      </c>
      <c r="L132" t="s">
        <v>1055</v>
      </c>
      <c r="M132">
        <v>22</v>
      </c>
      <c r="N132" t="s">
        <v>1073</v>
      </c>
      <c r="O132">
        <v>8</v>
      </c>
      <c r="P132">
        <v>0</v>
      </c>
      <c r="Q132">
        <v>-8</v>
      </c>
      <c r="R132">
        <v>22.15</v>
      </c>
      <c r="S132">
        <v>0</v>
      </c>
      <c r="T132">
        <v>25.43</v>
      </c>
      <c r="U132">
        <v>-203.44</v>
      </c>
      <c r="V132">
        <v>52889.53</v>
      </c>
      <c r="W132" s="1">
        <v>44718</v>
      </c>
      <c r="X132" t="s">
        <v>25</v>
      </c>
    </row>
    <row r="133" spans="1:24" x14ac:dyDescent="0.3">
      <c r="A133" t="s">
        <v>1126</v>
      </c>
      <c r="B133" t="s">
        <v>354</v>
      </c>
      <c r="C133" t="s">
        <v>355</v>
      </c>
      <c r="D133" t="s">
        <v>35</v>
      </c>
      <c r="E133" t="s">
        <v>45</v>
      </c>
      <c r="F133" t="s">
        <v>66</v>
      </c>
      <c r="G133" t="s">
        <v>97</v>
      </c>
      <c r="H133">
        <v>2</v>
      </c>
      <c r="I133" t="s">
        <v>29</v>
      </c>
      <c r="J133" s="1">
        <v>45513</v>
      </c>
      <c r="K133" t="s">
        <v>1054</v>
      </c>
      <c r="L133" t="s">
        <v>1066</v>
      </c>
      <c r="M133">
        <v>14</v>
      </c>
      <c r="N133" t="s">
        <v>1052</v>
      </c>
      <c r="O133">
        <v>8</v>
      </c>
      <c r="P133">
        <v>8.4600000000000009</v>
      </c>
      <c r="Q133">
        <v>0.46</v>
      </c>
      <c r="R133">
        <v>23.56</v>
      </c>
      <c r="S133">
        <v>199.32</v>
      </c>
      <c r="T133">
        <v>10.58</v>
      </c>
      <c r="U133">
        <v>114.68</v>
      </c>
      <c r="V133">
        <v>22008.81</v>
      </c>
      <c r="W133" s="1">
        <v>45150</v>
      </c>
      <c r="X133" t="s">
        <v>152</v>
      </c>
    </row>
    <row r="134" spans="1:24" x14ac:dyDescent="0.3">
      <c r="A134" t="s">
        <v>1175</v>
      </c>
      <c r="B134" t="s">
        <v>354</v>
      </c>
      <c r="C134" t="s">
        <v>355</v>
      </c>
      <c r="D134" t="s">
        <v>35</v>
      </c>
      <c r="E134" t="s">
        <v>45</v>
      </c>
      <c r="F134" t="s">
        <v>66</v>
      </c>
      <c r="G134" t="s">
        <v>97</v>
      </c>
      <c r="H134">
        <v>2</v>
      </c>
      <c r="I134" t="s">
        <v>29</v>
      </c>
      <c r="J134" s="1">
        <v>45628</v>
      </c>
      <c r="K134" t="s">
        <v>1069</v>
      </c>
      <c r="L134" t="s">
        <v>1058</v>
      </c>
      <c r="M134">
        <v>6</v>
      </c>
      <c r="N134" t="s">
        <v>1052</v>
      </c>
      <c r="O134">
        <v>8</v>
      </c>
      <c r="P134">
        <v>8.1</v>
      </c>
      <c r="Q134">
        <v>0.1</v>
      </c>
      <c r="R134">
        <v>24.49</v>
      </c>
      <c r="S134">
        <v>198.37</v>
      </c>
      <c r="T134">
        <v>10.58</v>
      </c>
      <c r="U134">
        <v>113.73</v>
      </c>
      <c r="V134">
        <v>22008.81</v>
      </c>
      <c r="W134" s="1">
        <v>45150</v>
      </c>
      <c r="X134" t="s">
        <v>152</v>
      </c>
    </row>
    <row r="135" spans="1:24" x14ac:dyDescent="0.3">
      <c r="A135" t="s">
        <v>1234</v>
      </c>
      <c r="B135" t="s">
        <v>354</v>
      </c>
      <c r="C135" t="s">
        <v>355</v>
      </c>
      <c r="D135" t="s">
        <v>35</v>
      </c>
      <c r="E135" t="s">
        <v>45</v>
      </c>
      <c r="F135" t="s">
        <v>66</v>
      </c>
      <c r="G135" t="s">
        <v>97</v>
      </c>
      <c r="H135">
        <v>2</v>
      </c>
      <c r="I135" t="s">
        <v>29</v>
      </c>
      <c r="J135" s="1">
        <v>45507</v>
      </c>
      <c r="K135" t="s">
        <v>1054</v>
      </c>
      <c r="L135" t="s">
        <v>1058</v>
      </c>
      <c r="M135">
        <v>6</v>
      </c>
      <c r="N135" t="s">
        <v>1073</v>
      </c>
      <c r="O135">
        <v>8</v>
      </c>
      <c r="P135">
        <v>0</v>
      </c>
      <c r="Q135">
        <v>-8</v>
      </c>
      <c r="R135">
        <v>11.6</v>
      </c>
      <c r="S135">
        <v>0</v>
      </c>
      <c r="T135">
        <v>10.58</v>
      </c>
      <c r="U135">
        <v>-84.64</v>
      </c>
      <c r="V135">
        <v>22008.81</v>
      </c>
      <c r="W135" s="1">
        <v>45150</v>
      </c>
      <c r="X135" t="s">
        <v>152</v>
      </c>
    </row>
    <row r="136" spans="1:24" x14ac:dyDescent="0.3">
      <c r="A136" t="s">
        <v>1246</v>
      </c>
      <c r="B136" t="s">
        <v>354</v>
      </c>
      <c r="C136" t="s">
        <v>355</v>
      </c>
      <c r="D136" t="s">
        <v>35</v>
      </c>
      <c r="E136" t="s">
        <v>45</v>
      </c>
      <c r="F136" t="s">
        <v>66</v>
      </c>
      <c r="G136" t="s">
        <v>97</v>
      </c>
      <c r="H136">
        <v>2</v>
      </c>
      <c r="I136" t="s">
        <v>29</v>
      </c>
      <c r="J136" s="1">
        <v>45620</v>
      </c>
      <c r="K136" t="s">
        <v>1062</v>
      </c>
      <c r="L136" t="s">
        <v>1058</v>
      </c>
      <c r="M136">
        <v>6</v>
      </c>
      <c r="N136" t="s">
        <v>1052</v>
      </c>
      <c r="O136">
        <v>8</v>
      </c>
      <c r="P136">
        <v>8.3800000000000008</v>
      </c>
      <c r="Q136">
        <v>0.38</v>
      </c>
      <c r="R136">
        <v>13.59</v>
      </c>
      <c r="S136">
        <v>113.88</v>
      </c>
      <c r="T136">
        <v>10.58</v>
      </c>
      <c r="U136">
        <v>29.24</v>
      </c>
      <c r="V136">
        <v>22008.81</v>
      </c>
      <c r="W136" s="1">
        <v>45150</v>
      </c>
      <c r="X136" t="s">
        <v>25</v>
      </c>
    </row>
    <row r="137" spans="1:24" x14ac:dyDescent="0.3">
      <c r="A137" t="s">
        <v>1277</v>
      </c>
      <c r="B137" t="s">
        <v>354</v>
      </c>
      <c r="C137" t="s">
        <v>355</v>
      </c>
      <c r="D137" t="s">
        <v>35</v>
      </c>
      <c r="E137" t="s">
        <v>45</v>
      </c>
      <c r="F137" t="s">
        <v>66</v>
      </c>
      <c r="G137" t="s">
        <v>97</v>
      </c>
      <c r="H137">
        <v>2</v>
      </c>
      <c r="I137" t="s">
        <v>29</v>
      </c>
      <c r="J137" s="1">
        <v>45587</v>
      </c>
      <c r="K137" t="s">
        <v>1050</v>
      </c>
      <c r="L137" t="s">
        <v>1066</v>
      </c>
      <c r="M137">
        <v>14</v>
      </c>
      <c r="N137" t="s">
        <v>1073</v>
      </c>
      <c r="O137">
        <v>8</v>
      </c>
      <c r="P137">
        <v>0</v>
      </c>
      <c r="Q137">
        <v>-8</v>
      </c>
      <c r="R137">
        <v>19.920000000000002</v>
      </c>
      <c r="S137">
        <v>0</v>
      </c>
      <c r="T137">
        <v>10.58</v>
      </c>
      <c r="U137">
        <v>-84.64</v>
      </c>
      <c r="V137">
        <v>22008.81</v>
      </c>
      <c r="W137" s="1">
        <v>45150</v>
      </c>
      <c r="X137" t="s">
        <v>25</v>
      </c>
    </row>
    <row r="138" spans="1:24" x14ac:dyDescent="0.3">
      <c r="A138" t="s">
        <v>1119</v>
      </c>
      <c r="B138" t="s">
        <v>813</v>
      </c>
      <c r="C138" t="s">
        <v>814</v>
      </c>
      <c r="D138" t="s">
        <v>118</v>
      </c>
      <c r="E138" t="s">
        <v>119</v>
      </c>
      <c r="F138" t="s">
        <v>23</v>
      </c>
      <c r="G138" t="s">
        <v>47</v>
      </c>
      <c r="H138">
        <v>5</v>
      </c>
      <c r="I138" t="s">
        <v>29</v>
      </c>
      <c r="J138" s="1">
        <v>45641</v>
      </c>
      <c r="K138" t="s">
        <v>1069</v>
      </c>
      <c r="L138" t="s">
        <v>1066</v>
      </c>
      <c r="M138">
        <v>14</v>
      </c>
      <c r="N138" t="s">
        <v>1052</v>
      </c>
      <c r="O138">
        <v>8</v>
      </c>
      <c r="P138">
        <v>7.87</v>
      </c>
      <c r="Q138">
        <v>-0.13</v>
      </c>
      <c r="R138">
        <v>19.98</v>
      </c>
      <c r="S138">
        <v>157.24</v>
      </c>
      <c r="T138">
        <v>16.68</v>
      </c>
      <c r="U138">
        <v>23.8</v>
      </c>
      <c r="V138">
        <v>34697.629999999997</v>
      </c>
      <c r="W138" s="1">
        <v>43992</v>
      </c>
      <c r="X138" t="s">
        <v>25</v>
      </c>
    </row>
    <row r="139" spans="1:24" x14ac:dyDescent="0.3">
      <c r="A139" t="s">
        <v>1128</v>
      </c>
      <c r="B139" t="s">
        <v>813</v>
      </c>
      <c r="C139" t="s">
        <v>814</v>
      </c>
      <c r="D139" t="s">
        <v>118</v>
      </c>
      <c r="E139" t="s">
        <v>119</v>
      </c>
      <c r="F139" t="s">
        <v>23</v>
      </c>
      <c r="G139" t="s">
        <v>47</v>
      </c>
      <c r="H139">
        <v>5</v>
      </c>
      <c r="I139" t="s">
        <v>29</v>
      </c>
      <c r="J139" s="1">
        <v>45568</v>
      </c>
      <c r="K139" t="s">
        <v>1050</v>
      </c>
      <c r="L139" t="s">
        <v>1051</v>
      </c>
      <c r="M139">
        <v>8</v>
      </c>
      <c r="N139" t="s">
        <v>1063</v>
      </c>
      <c r="O139">
        <v>8</v>
      </c>
      <c r="P139">
        <v>0</v>
      </c>
      <c r="Q139">
        <v>-8</v>
      </c>
      <c r="R139">
        <v>25.28</v>
      </c>
      <c r="S139">
        <v>0</v>
      </c>
      <c r="T139">
        <v>16.68</v>
      </c>
      <c r="U139">
        <v>-133.44</v>
      </c>
      <c r="V139">
        <v>34697.629999999997</v>
      </c>
      <c r="W139" s="1">
        <v>43992</v>
      </c>
      <c r="X139" t="s">
        <v>152</v>
      </c>
    </row>
    <row r="140" spans="1:24" x14ac:dyDescent="0.3">
      <c r="A140" t="s">
        <v>1120</v>
      </c>
      <c r="B140" t="s">
        <v>708</v>
      </c>
      <c r="C140" t="s">
        <v>709</v>
      </c>
      <c r="D140" t="s">
        <v>132</v>
      </c>
      <c r="E140" t="s">
        <v>133</v>
      </c>
      <c r="F140" t="s">
        <v>66</v>
      </c>
      <c r="G140" t="s">
        <v>97</v>
      </c>
      <c r="H140">
        <v>5</v>
      </c>
      <c r="I140" t="s">
        <v>29</v>
      </c>
      <c r="J140" s="1">
        <v>45611</v>
      </c>
      <c r="K140" t="s">
        <v>1062</v>
      </c>
      <c r="L140" t="s">
        <v>1051</v>
      </c>
      <c r="M140">
        <v>8</v>
      </c>
      <c r="N140" t="s">
        <v>1052</v>
      </c>
      <c r="O140">
        <v>8</v>
      </c>
      <c r="P140">
        <v>8.2100000000000009</v>
      </c>
      <c r="Q140">
        <v>0.21</v>
      </c>
      <c r="R140">
        <v>16.11</v>
      </c>
      <c r="S140">
        <v>132.26</v>
      </c>
      <c r="T140">
        <v>23.78</v>
      </c>
      <c r="U140">
        <v>-57.98</v>
      </c>
      <c r="V140">
        <v>49453.93</v>
      </c>
      <c r="W140" s="1">
        <v>43999</v>
      </c>
      <c r="X140" t="s">
        <v>1071</v>
      </c>
    </row>
    <row r="141" spans="1:24" x14ac:dyDescent="0.3">
      <c r="A141" t="s">
        <v>1123</v>
      </c>
      <c r="B141" t="s">
        <v>728</v>
      </c>
      <c r="C141" t="s">
        <v>729</v>
      </c>
      <c r="D141" t="s">
        <v>35</v>
      </c>
      <c r="E141" t="s">
        <v>45</v>
      </c>
      <c r="F141" t="s">
        <v>55</v>
      </c>
      <c r="G141" t="s">
        <v>47</v>
      </c>
      <c r="H141">
        <v>4</v>
      </c>
      <c r="I141" t="s">
        <v>29</v>
      </c>
      <c r="J141" s="1">
        <v>45646</v>
      </c>
      <c r="K141" t="s">
        <v>1069</v>
      </c>
      <c r="L141" t="s">
        <v>1055</v>
      </c>
      <c r="M141">
        <v>22</v>
      </c>
      <c r="N141" t="s">
        <v>1063</v>
      </c>
      <c r="O141">
        <v>8</v>
      </c>
      <c r="P141">
        <v>0</v>
      </c>
      <c r="Q141">
        <v>-8</v>
      </c>
      <c r="R141">
        <v>10.73</v>
      </c>
      <c r="S141">
        <v>0</v>
      </c>
      <c r="T141">
        <v>18.5</v>
      </c>
      <c r="U141">
        <v>-148</v>
      </c>
      <c r="V141">
        <v>38475.68</v>
      </c>
      <c r="W141" s="1">
        <v>44400</v>
      </c>
      <c r="X141" t="s">
        <v>152</v>
      </c>
    </row>
    <row r="142" spans="1:24" x14ac:dyDescent="0.3">
      <c r="A142" t="s">
        <v>1210</v>
      </c>
      <c r="B142" t="s">
        <v>728</v>
      </c>
      <c r="C142" t="s">
        <v>729</v>
      </c>
      <c r="D142" t="s">
        <v>35</v>
      </c>
      <c r="E142" t="s">
        <v>45</v>
      </c>
      <c r="F142" t="s">
        <v>55</v>
      </c>
      <c r="G142" t="s">
        <v>47</v>
      </c>
      <c r="H142">
        <v>4</v>
      </c>
      <c r="I142" t="s">
        <v>29</v>
      </c>
      <c r="J142" s="1">
        <v>45539</v>
      </c>
      <c r="K142" t="s">
        <v>1057</v>
      </c>
      <c r="L142" t="s">
        <v>1055</v>
      </c>
      <c r="M142">
        <v>22</v>
      </c>
      <c r="N142" t="s">
        <v>1052</v>
      </c>
      <c r="O142">
        <v>8</v>
      </c>
      <c r="P142">
        <v>7.81</v>
      </c>
      <c r="Q142">
        <v>-0.19</v>
      </c>
      <c r="R142">
        <v>14.79</v>
      </c>
      <c r="S142">
        <v>115.51</v>
      </c>
      <c r="T142">
        <v>18.5</v>
      </c>
      <c r="U142">
        <v>-32.49</v>
      </c>
      <c r="V142">
        <v>38475.68</v>
      </c>
      <c r="W142" s="1">
        <v>44400</v>
      </c>
      <c r="X142" t="s">
        <v>25</v>
      </c>
    </row>
    <row r="143" spans="1:24" x14ac:dyDescent="0.3">
      <c r="A143" t="s">
        <v>1125</v>
      </c>
      <c r="B143" t="s">
        <v>955</v>
      </c>
      <c r="C143" t="s">
        <v>956</v>
      </c>
      <c r="D143" t="s">
        <v>73</v>
      </c>
      <c r="E143" t="s">
        <v>424</v>
      </c>
      <c r="F143" t="s">
        <v>66</v>
      </c>
      <c r="G143" t="s">
        <v>37</v>
      </c>
      <c r="H143">
        <v>5</v>
      </c>
      <c r="I143" t="s">
        <v>29</v>
      </c>
      <c r="J143" s="1">
        <v>45581</v>
      </c>
      <c r="K143" t="s">
        <v>1050</v>
      </c>
      <c r="L143" t="s">
        <v>1058</v>
      </c>
      <c r="M143">
        <v>6</v>
      </c>
      <c r="N143" t="s">
        <v>1052</v>
      </c>
      <c r="O143">
        <v>8</v>
      </c>
      <c r="P143">
        <v>8.4600000000000009</v>
      </c>
      <c r="Q143">
        <v>0.46</v>
      </c>
      <c r="R143">
        <v>12.27</v>
      </c>
      <c r="S143">
        <v>103.8</v>
      </c>
      <c r="T143">
        <v>25.67</v>
      </c>
      <c r="U143">
        <v>-101.56</v>
      </c>
      <c r="V143">
        <v>53397.97</v>
      </c>
      <c r="W143" s="1">
        <v>44225</v>
      </c>
      <c r="X143" t="s">
        <v>1071</v>
      </c>
    </row>
    <row r="144" spans="1:24" x14ac:dyDescent="0.3">
      <c r="A144" t="s">
        <v>1256</v>
      </c>
      <c r="B144" t="s">
        <v>955</v>
      </c>
      <c r="C144" t="s">
        <v>956</v>
      </c>
      <c r="D144" t="s">
        <v>73</v>
      </c>
      <c r="E144" t="s">
        <v>424</v>
      </c>
      <c r="F144" t="s">
        <v>66</v>
      </c>
      <c r="G144" t="s">
        <v>37</v>
      </c>
      <c r="H144">
        <v>5</v>
      </c>
      <c r="I144" t="s">
        <v>29</v>
      </c>
      <c r="J144" s="1">
        <v>45550</v>
      </c>
      <c r="K144" t="s">
        <v>1057</v>
      </c>
      <c r="L144" t="s">
        <v>1058</v>
      </c>
      <c r="M144">
        <v>6</v>
      </c>
      <c r="N144" t="s">
        <v>1052</v>
      </c>
      <c r="O144">
        <v>8</v>
      </c>
      <c r="P144">
        <v>8.0500000000000007</v>
      </c>
      <c r="Q144">
        <v>0.05</v>
      </c>
      <c r="R144">
        <v>19.170000000000002</v>
      </c>
      <c r="S144">
        <v>154.32</v>
      </c>
      <c r="T144">
        <v>25.67</v>
      </c>
      <c r="U144">
        <v>-51.04</v>
      </c>
      <c r="V144">
        <v>53397.97</v>
      </c>
      <c r="W144" s="1">
        <v>44225</v>
      </c>
      <c r="X144" t="s">
        <v>1071</v>
      </c>
    </row>
    <row r="145" spans="1:24" x14ac:dyDescent="0.3">
      <c r="A145" t="s">
        <v>1127</v>
      </c>
      <c r="B145" t="s">
        <v>923</v>
      </c>
      <c r="C145" t="s">
        <v>924</v>
      </c>
      <c r="D145" t="s">
        <v>73</v>
      </c>
      <c r="E145" t="s">
        <v>74</v>
      </c>
      <c r="F145" t="s">
        <v>23</v>
      </c>
      <c r="G145" t="s">
        <v>37</v>
      </c>
      <c r="H145">
        <v>6</v>
      </c>
      <c r="I145" t="s">
        <v>58</v>
      </c>
      <c r="J145" s="1">
        <v>45632</v>
      </c>
      <c r="K145" t="s">
        <v>1069</v>
      </c>
      <c r="L145" t="s">
        <v>1051</v>
      </c>
      <c r="M145">
        <v>8</v>
      </c>
      <c r="N145" t="s">
        <v>1073</v>
      </c>
      <c r="O145">
        <v>8</v>
      </c>
      <c r="P145">
        <v>0</v>
      </c>
      <c r="Q145">
        <v>-8</v>
      </c>
      <c r="R145">
        <v>19.329999999999998</v>
      </c>
      <c r="S145">
        <v>0</v>
      </c>
      <c r="T145">
        <v>23.81</v>
      </c>
      <c r="U145">
        <v>-190.48</v>
      </c>
      <c r="V145">
        <v>49519.23</v>
      </c>
      <c r="W145" s="1">
        <v>43848</v>
      </c>
      <c r="X145" t="s">
        <v>25</v>
      </c>
    </row>
    <row r="146" spans="1:24" x14ac:dyDescent="0.3">
      <c r="A146" t="s">
        <v>1216</v>
      </c>
      <c r="B146" t="s">
        <v>923</v>
      </c>
      <c r="C146" t="s">
        <v>924</v>
      </c>
      <c r="D146" t="s">
        <v>73</v>
      </c>
      <c r="E146" t="s">
        <v>74</v>
      </c>
      <c r="F146" t="s">
        <v>23</v>
      </c>
      <c r="G146" t="s">
        <v>37</v>
      </c>
      <c r="H146">
        <v>6</v>
      </c>
      <c r="I146" t="s">
        <v>58</v>
      </c>
      <c r="J146" s="1">
        <v>45534</v>
      </c>
      <c r="K146" t="s">
        <v>1054</v>
      </c>
      <c r="L146" t="s">
        <v>1066</v>
      </c>
      <c r="M146">
        <v>14</v>
      </c>
      <c r="N146" t="s">
        <v>1073</v>
      </c>
      <c r="O146">
        <v>8</v>
      </c>
      <c r="P146">
        <v>0</v>
      </c>
      <c r="Q146">
        <v>-8</v>
      </c>
      <c r="R146">
        <v>16.5</v>
      </c>
      <c r="S146">
        <v>0</v>
      </c>
      <c r="T146">
        <v>23.81</v>
      </c>
      <c r="U146">
        <v>-190.48</v>
      </c>
      <c r="V146">
        <v>49519.23</v>
      </c>
      <c r="W146" s="1">
        <v>43848</v>
      </c>
      <c r="X146" t="s">
        <v>25</v>
      </c>
    </row>
    <row r="147" spans="1:24" x14ac:dyDescent="0.3">
      <c r="A147" t="s">
        <v>1155</v>
      </c>
      <c r="B147" t="s">
        <v>396</v>
      </c>
      <c r="C147" t="s">
        <v>397</v>
      </c>
      <c r="D147" t="s">
        <v>132</v>
      </c>
      <c r="E147" t="s">
        <v>212</v>
      </c>
      <c r="F147" t="s">
        <v>23</v>
      </c>
      <c r="G147" t="s">
        <v>47</v>
      </c>
      <c r="H147">
        <v>1</v>
      </c>
      <c r="I147" t="s">
        <v>58</v>
      </c>
      <c r="J147" s="1">
        <v>45567</v>
      </c>
      <c r="K147" t="s">
        <v>1050</v>
      </c>
      <c r="L147" t="s">
        <v>1058</v>
      </c>
      <c r="M147">
        <v>6</v>
      </c>
      <c r="N147" t="s">
        <v>1052</v>
      </c>
      <c r="O147">
        <v>8</v>
      </c>
      <c r="P147">
        <v>8.27</v>
      </c>
      <c r="Q147">
        <v>0.27</v>
      </c>
      <c r="R147">
        <v>19.29</v>
      </c>
      <c r="S147">
        <v>159.53</v>
      </c>
      <c r="T147">
        <v>22.07</v>
      </c>
      <c r="U147">
        <v>-17.03</v>
      </c>
      <c r="V147">
        <v>45914.13</v>
      </c>
      <c r="W147" s="1">
        <v>45527</v>
      </c>
      <c r="X147" t="s">
        <v>152</v>
      </c>
    </row>
    <row r="148" spans="1:24" x14ac:dyDescent="0.3">
      <c r="A148" t="s">
        <v>1129</v>
      </c>
      <c r="B148" t="s">
        <v>511</v>
      </c>
      <c r="C148" t="s">
        <v>512</v>
      </c>
      <c r="D148" t="s">
        <v>118</v>
      </c>
      <c r="E148" t="s">
        <v>169</v>
      </c>
      <c r="F148" t="s">
        <v>23</v>
      </c>
      <c r="G148" t="s">
        <v>97</v>
      </c>
      <c r="H148">
        <v>3</v>
      </c>
      <c r="I148" t="s">
        <v>58</v>
      </c>
      <c r="J148" s="1">
        <v>45514</v>
      </c>
      <c r="K148" t="s">
        <v>1054</v>
      </c>
      <c r="L148" t="s">
        <v>1066</v>
      </c>
      <c r="M148">
        <v>14</v>
      </c>
      <c r="N148" t="s">
        <v>1052</v>
      </c>
      <c r="O148">
        <v>8</v>
      </c>
      <c r="P148">
        <v>7.91</v>
      </c>
      <c r="Q148">
        <v>-0.09</v>
      </c>
      <c r="R148">
        <v>16.8</v>
      </c>
      <c r="S148">
        <v>132.88999999999999</v>
      </c>
      <c r="T148">
        <v>19.45</v>
      </c>
      <c r="U148">
        <v>-22.71</v>
      </c>
      <c r="V148">
        <v>40446.43</v>
      </c>
      <c r="W148" s="1">
        <v>44988</v>
      </c>
      <c r="X148" t="s">
        <v>152</v>
      </c>
    </row>
    <row r="149" spans="1:24" x14ac:dyDescent="0.3">
      <c r="A149" t="s">
        <v>1177</v>
      </c>
      <c r="B149" t="s">
        <v>511</v>
      </c>
      <c r="C149" t="s">
        <v>512</v>
      </c>
      <c r="D149" t="s">
        <v>118</v>
      </c>
      <c r="E149" t="s">
        <v>169</v>
      </c>
      <c r="F149" t="s">
        <v>23</v>
      </c>
      <c r="G149" t="s">
        <v>97</v>
      </c>
      <c r="H149">
        <v>3</v>
      </c>
      <c r="I149" t="s">
        <v>58</v>
      </c>
      <c r="J149" s="1">
        <v>45629</v>
      </c>
      <c r="K149" t="s">
        <v>1069</v>
      </c>
      <c r="L149" t="s">
        <v>1058</v>
      </c>
      <c r="M149">
        <v>6</v>
      </c>
      <c r="N149" t="s">
        <v>1052</v>
      </c>
      <c r="O149">
        <v>8</v>
      </c>
      <c r="P149">
        <v>8</v>
      </c>
      <c r="Q149">
        <v>0</v>
      </c>
      <c r="R149">
        <v>25.06</v>
      </c>
      <c r="S149">
        <v>200.48</v>
      </c>
      <c r="T149">
        <v>19.45</v>
      </c>
      <c r="U149">
        <v>44.88</v>
      </c>
      <c r="V149">
        <v>40446.43</v>
      </c>
      <c r="W149" s="1">
        <v>44988</v>
      </c>
      <c r="X149" t="s">
        <v>152</v>
      </c>
    </row>
    <row r="150" spans="1:24" x14ac:dyDescent="0.3">
      <c r="A150" t="s">
        <v>1241</v>
      </c>
      <c r="B150" t="s">
        <v>417</v>
      </c>
      <c r="C150" t="s">
        <v>418</v>
      </c>
      <c r="D150" t="s">
        <v>118</v>
      </c>
      <c r="E150" t="s">
        <v>169</v>
      </c>
      <c r="F150" t="s">
        <v>46</v>
      </c>
      <c r="G150" t="s">
        <v>97</v>
      </c>
      <c r="H150">
        <v>3</v>
      </c>
      <c r="I150" t="s">
        <v>58</v>
      </c>
      <c r="J150" s="1">
        <v>45624</v>
      </c>
      <c r="K150" t="s">
        <v>1062</v>
      </c>
      <c r="L150" t="s">
        <v>1058</v>
      </c>
      <c r="M150">
        <v>6</v>
      </c>
      <c r="N150" t="s">
        <v>1052</v>
      </c>
      <c r="O150">
        <v>8</v>
      </c>
      <c r="P150">
        <v>8.34</v>
      </c>
      <c r="Q150">
        <v>0.34</v>
      </c>
      <c r="R150">
        <v>24.11</v>
      </c>
      <c r="S150">
        <v>201.08</v>
      </c>
      <c r="T150">
        <v>19.170000000000002</v>
      </c>
      <c r="U150">
        <v>47.72</v>
      </c>
      <c r="V150">
        <v>39882.53</v>
      </c>
      <c r="W150" s="1">
        <v>44908</v>
      </c>
      <c r="X150" t="s">
        <v>152</v>
      </c>
    </row>
    <row r="151" spans="1:24" x14ac:dyDescent="0.3">
      <c r="A151" t="s">
        <v>1136</v>
      </c>
      <c r="B151" t="s">
        <v>768</v>
      </c>
      <c r="C151" t="s">
        <v>769</v>
      </c>
      <c r="D151" t="s">
        <v>22</v>
      </c>
      <c r="E151" t="s">
        <v>22</v>
      </c>
      <c r="F151" t="s">
        <v>55</v>
      </c>
      <c r="G151" t="s">
        <v>47</v>
      </c>
      <c r="H151">
        <v>3</v>
      </c>
      <c r="I151" t="s">
        <v>29</v>
      </c>
      <c r="J151" s="1">
        <v>45575</v>
      </c>
      <c r="K151" t="s">
        <v>1050</v>
      </c>
      <c r="L151" t="s">
        <v>1066</v>
      </c>
      <c r="M151">
        <v>14</v>
      </c>
      <c r="N151" t="s">
        <v>1052</v>
      </c>
      <c r="O151">
        <v>8</v>
      </c>
      <c r="P151">
        <v>8.27</v>
      </c>
      <c r="Q151">
        <v>0.27</v>
      </c>
      <c r="R151">
        <v>22.29</v>
      </c>
      <c r="S151">
        <v>184.34</v>
      </c>
      <c r="T151">
        <v>10.53</v>
      </c>
      <c r="U151">
        <v>100.1</v>
      </c>
      <c r="V151">
        <v>21909.34</v>
      </c>
      <c r="W151" s="1">
        <v>44708</v>
      </c>
      <c r="X151" t="s">
        <v>152</v>
      </c>
    </row>
    <row r="152" spans="1:24" x14ac:dyDescent="0.3">
      <c r="A152" t="s">
        <v>1213</v>
      </c>
      <c r="B152" t="s">
        <v>768</v>
      </c>
      <c r="C152" t="s">
        <v>769</v>
      </c>
      <c r="D152" t="s">
        <v>22</v>
      </c>
      <c r="E152" t="s">
        <v>22</v>
      </c>
      <c r="F152" t="s">
        <v>55</v>
      </c>
      <c r="G152" t="s">
        <v>47</v>
      </c>
      <c r="H152">
        <v>3</v>
      </c>
      <c r="I152" t="s">
        <v>29</v>
      </c>
      <c r="J152" s="1">
        <v>45643</v>
      </c>
      <c r="K152" t="s">
        <v>1069</v>
      </c>
      <c r="L152" t="s">
        <v>1055</v>
      </c>
      <c r="M152">
        <v>22</v>
      </c>
      <c r="N152" t="s">
        <v>1052</v>
      </c>
      <c r="O152">
        <v>8</v>
      </c>
      <c r="P152">
        <v>8.1</v>
      </c>
      <c r="Q152">
        <v>0.1</v>
      </c>
      <c r="R152">
        <v>21.99</v>
      </c>
      <c r="S152">
        <v>178.12</v>
      </c>
      <c r="T152">
        <v>10.53</v>
      </c>
      <c r="U152">
        <v>93.88</v>
      </c>
      <c r="V152">
        <v>21909.34</v>
      </c>
      <c r="W152" s="1">
        <v>44708</v>
      </c>
      <c r="X152" t="s">
        <v>25</v>
      </c>
    </row>
    <row r="153" spans="1:24" x14ac:dyDescent="0.3">
      <c r="A153" t="s">
        <v>1286</v>
      </c>
      <c r="B153" t="s">
        <v>437</v>
      </c>
      <c r="C153" t="s">
        <v>438</v>
      </c>
      <c r="D153" t="s">
        <v>118</v>
      </c>
      <c r="E153" t="s">
        <v>218</v>
      </c>
      <c r="F153" t="s">
        <v>23</v>
      </c>
      <c r="G153" t="s">
        <v>47</v>
      </c>
      <c r="H153">
        <v>3</v>
      </c>
      <c r="I153" t="s">
        <v>29</v>
      </c>
      <c r="J153" s="1">
        <v>45481</v>
      </c>
      <c r="K153" t="s">
        <v>1065</v>
      </c>
      <c r="L153" t="s">
        <v>1051</v>
      </c>
      <c r="M153">
        <v>8</v>
      </c>
      <c r="N153" t="s">
        <v>1052</v>
      </c>
      <c r="O153">
        <v>8</v>
      </c>
      <c r="P153">
        <v>7.84</v>
      </c>
      <c r="Q153">
        <v>-0.16</v>
      </c>
      <c r="R153">
        <v>25.29</v>
      </c>
      <c r="S153">
        <v>198.27</v>
      </c>
      <c r="T153">
        <v>11.41</v>
      </c>
      <c r="U153">
        <v>106.99</v>
      </c>
      <c r="V153">
        <v>23732.97</v>
      </c>
      <c r="W153" s="1">
        <v>45023</v>
      </c>
      <c r="X153" t="s">
        <v>25</v>
      </c>
    </row>
    <row r="154" spans="1:24" x14ac:dyDescent="0.3">
      <c r="A154" t="s">
        <v>1146</v>
      </c>
      <c r="B154" t="s">
        <v>450</v>
      </c>
      <c r="C154" t="s">
        <v>451</v>
      </c>
      <c r="D154" t="s">
        <v>64</v>
      </c>
      <c r="E154" t="s">
        <v>65</v>
      </c>
      <c r="F154" t="s">
        <v>66</v>
      </c>
      <c r="G154" t="s">
        <v>24</v>
      </c>
      <c r="H154">
        <v>3</v>
      </c>
      <c r="I154" t="s">
        <v>58</v>
      </c>
      <c r="J154" s="1">
        <v>45631</v>
      </c>
      <c r="K154" t="s">
        <v>1069</v>
      </c>
      <c r="L154" t="s">
        <v>1055</v>
      </c>
      <c r="M154">
        <v>22</v>
      </c>
      <c r="N154" t="s">
        <v>1052</v>
      </c>
      <c r="O154">
        <v>8</v>
      </c>
      <c r="P154">
        <v>7.97</v>
      </c>
      <c r="Q154">
        <v>-0.03</v>
      </c>
      <c r="R154">
        <v>27.65</v>
      </c>
      <c r="S154">
        <v>220.37</v>
      </c>
      <c r="T154">
        <v>15.71</v>
      </c>
      <c r="U154">
        <v>94.69</v>
      </c>
      <c r="V154">
        <v>32668.799999999999</v>
      </c>
      <c r="W154" s="1">
        <v>44863</v>
      </c>
      <c r="X154" t="s">
        <v>25</v>
      </c>
    </row>
    <row r="155" spans="1:24" x14ac:dyDescent="0.3">
      <c r="A155" t="s">
        <v>1247</v>
      </c>
      <c r="B155" t="s">
        <v>463</v>
      </c>
      <c r="C155" t="s">
        <v>464</v>
      </c>
      <c r="D155" t="s">
        <v>73</v>
      </c>
      <c r="E155" t="s">
        <v>424</v>
      </c>
      <c r="F155" t="s">
        <v>55</v>
      </c>
      <c r="G155" t="s">
        <v>97</v>
      </c>
      <c r="H155">
        <v>5</v>
      </c>
      <c r="I155" t="s">
        <v>58</v>
      </c>
      <c r="J155" s="1">
        <v>45547</v>
      </c>
      <c r="K155" t="s">
        <v>1057</v>
      </c>
      <c r="L155" t="s">
        <v>1066</v>
      </c>
      <c r="M155">
        <v>14</v>
      </c>
      <c r="N155" t="s">
        <v>1063</v>
      </c>
      <c r="O155">
        <v>8</v>
      </c>
      <c r="P155">
        <v>0</v>
      </c>
      <c r="Q155">
        <v>-8</v>
      </c>
      <c r="R155">
        <v>11.26</v>
      </c>
      <c r="S155">
        <v>0</v>
      </c>
      <c r="T155">
        <v>12.94</v>
      </c>
      <c r="U155">
        <v>-103.52</v>
      </c>
      <c r="V155">
        <v>26921.66</v>
      </c>
      <c r="W155" s="1">
        <v>44283</v>
      </c>
      <c r="X155" t="s">
        <v>25</v>
      </c>
    </row>
    <row r="156" spans="1:24" x14ac:dyDescent="0.3">
      <c r="A156" t="s">
        <v>1270</v>
      </c>
      <c r="B156" t="s">
        <v>467</v>
      </c>
      <c r="C156" t="s">
        <v>468</v>
      </c>
      <c r="D156" t="s">
        <v>118</v>
      </c>
      <c r="E156" t="s">
        <v>218</v>
      </c>
      <c r="F156" t="s">
        <v>46</v>
      </c>
      <c r="G156" t="s">
        <v>47</v>
      </c>
      <c r="H156">
        <v>2</v>
      </c>
      <c r="I156" t="s">
        <v>58</v>
      </c>
      <c r="J156" s="1">
        <v>45621</v>
      </c>
      <c r="K156" t="s">
        <v>1062</v>
      </c>
      <c r="L156" t="s">
        <v>1058</v>
      </c>
      <c r="M156">
        <v>6</v>
      </c>
      <c r="N156" t="s">
        <v>1063</v>
      </c>
      <c r="O156">
        <v>8</v>
      </c>
      <c r="P156">
        <v>0</v>
      </c>
      <c r="Q156">
        <v>-8</v>
      </c>
      <c r="R156">
        <v>27.23</v>
      </c>
      <c r="S156">
        <v>0</v>
      </c>
      <c r="T156">
        <v>9.43</v>
      </c>
      <c r="U156">
        <v>-75.44</v>
      </c>
      <c r="V156">
        <v>19620.830000000002</v>
      </c>
      <c r="W156" s="1">
        <v>45220</v>
      </c>
      <c r="X156" t="s">
        <v>25</v>
      </c>
    </row>
    <row r="157" spans="1:24" x14ac:dyDescent="0.3">
      <c r="A157" t="s">
        <v>1271</v>
      </c>
      <c r="B157" t="s">
        <v>467</v>
      </c>
      <c r="C157" t="s">
        <v>468</v>
      </c>
      <c r="D157" t="s">
        <v>118</v>
      </c>
      <c r="E157" t="s">
        <v>218</v>
      </c>
      <c r="F157" t="s">
        <v>46</v>
      </c>
      <c r="G157" t="s">
        <v>47</v>
      </c>
      <c r="H157">
        <v>2</v>
      </c>
      <c r="I157" t="s">
        <v>58</v>
      </c>
      <c r="J157" s="1">
        <v>45614</v>
      </c>
      <c r="K157" t="s">
        <v>1062</v>
      </c>
      <c r="L157" t="s">
        <v>1066</v>
      </c>
      <c r="M157">
        <v>14</v>
      </c>
      <c r="N157" t="s">
        <v>1052</v>
      </c>
      <c r="O157">
        <v>8</v>
      </c>
      <c r="P157">
        <v>8.2799999999999994</v>
      </c>
      <c r="Q157">
        <v>0.28000000000000003</v>
      </c>
      <c r="R157">
        <v>14.66</v>
      </c>
      <c r="S157">
        <v>121.38</v>
      </c>
      <c r="T157">
        <v>9.43</v>
      </c>
      <c r="U157">
        <v>45.94</v>
      </c>
      <c r="V157">
        <v>19620.830000000002</v>
      </c>
      <c r="W157" s="1">
        <v>45220</v>
      </c>
      <c r="X157" t="s">
        <v>152</v>
      </c>
    </row>
    <row r="158" spans="1:24" x14ac:dyDescent="0.3">
      <c r="A158" t="s">
        <v>1260</v>
      </c>
      <c r="B158" t="s">
        <v>475</v>
      </c>
      <c r="C158" t="s">
        <v>476</v>
      </c>
      <c r="D158" t="s">
        <v>35</v>
      </c>
      <c r="E158" t="s">
        <v>125</v>
      </c>
      <c r="F158" t="s">
        <v>55</v>
      </c>
      <c r="G158" t="s">
        <v>24</v>
      </c>
      <c r="H158">
        <v>3</v>
      </c>
      <c r="I158" t="s">
        <v>29</v>
      </c>
      <c r="J158" s="1">
        <v>45589</v>
      </c>
      <c r="K158" t="s">
        <v>1050</v>
      </c>
      <c r="L158" t="s">
        <v>1051</v>
      </c>
      <c r="M158">
        <v>8</v>
      </c>
      <c r="N158" t="s">
        <v>1052</v>
      </c>
      <c r="O158">
        <v>8</v>
      </c>
      <c r="P158">
        <v>8.4600000000000009</v>
      </c>
      <c r="Q158">
        <v>0.46</v>
      </c>
      <c r="R158">
        <v>24.28</v>
      </c>
      <c r="S158">
        <v>205.41</v>
      </c>
      <c r="T158">
        <v>14.49</v>
      </c>
      <c r="U158">
        <v>89.49</v>
      </c>
      <c r="V158">
        <v>30133.040000000001</v>
      </c>
      <c r="W158" s="1">
        <v>45023</v>
      </c>
      <c r="X158" t="s">
        <v>152</v>
      </c>
    </row>
    <row r="159" spans="1:24" x14ac:dyDescent="0.3">
      <c r="A159" t="s">
        <v>1147</v>
      </c>
      <c r="B159" t="s">
        <v>689</v>
      </c>
      <c r="C159" t="s">
        <v>690</v>
      </c>
      <c r="D159" t="s">
        <v>73</v>
      </c>
      <c r="E159" t="s">
        <v>424</v>
      </c>
      <c r="F159" t="s">
        <v>23</v>
      </c>
      <c r="G159" t="s">
        <v>47</v>
      </c>
      <c r="H159">
        <v>4</v>
      </c>
      <c r="I159" t="s">
        <v>29</v>
      </c>
      <c r="J159" s="1">
        <v>45611</v>
      </c>
      <c r="K159" t="s">
        <v>1062</v>
      </c>
      <c r="L159" t="s">
        <v>1058</v>
      </c>
      <c r="M159">
        <v>6</v>
      </c>
      <c r="N159" t="s">
        <v>1073</v>
      </c>
      <c r="O159">
        <v>8</v>
      </c>
      <c r="P159">
        <v>0</v>
      </c>
      <c r="Q159">
        <v>-8</v>
      </c>
      <c r="R159">
        <v>20.309999999999999</v>
      </c>
      <c r="S159">
        <v>0</v>
      </c>
      <c r="T159">
        <v>23.16</v>
      </c>
      <c r="U159">
        <v>-185.28</v>
      </c>
      <c r="V159">
        <v>48162.99</v>
      </c>
      <c r="W159" s="1">
        <v>44478</v>
      </c>
      <c r="X159" t="s">
        <v>25</v>
      </c>
    </row>
    <row r="160" spans="1:24" x14ac:dyDescent="0.3">
      <c r="A160" t="s">
        <v>1264</v>
      </c>
      <c r="B160" t="s">
        <v>689</v>
      </c>
      <c r="C160" t="s">
        <v>690</v>
      </c>
      <c r="D160" t="s">
        <v>73</v>
      </c>
      <c r="E160" t="s">
        <v>424</v>
      </c>
      <c r="F160" t="s">
        <v>23</v>
      </c>
      <c r="G160" t="s">
        <v>47</v>
      </c>
      <c r="H160">
        <v>4</v>
      </c>
      <c r="I160" t="s">
        <v>29</v>
      </c>
      <c r="J160" s="1">
        <v>45538</v>
      </c>
      <c r="K160" t="s">
        <v>1057</v>
      </c>
      <c r="L160" t="s">
        <v>1058</v>
      </c>
      <c r="M160">
        <v>6</v>
      </c>
      <c r="N160" t="s">
        <v>1052</v>
      </c>
      <c r="O160">
        <v>8</v>
      </c>
      <c r="P160">
        <v>8.15</v>
      </c>
      <c r="Q160">
        <v>0.15</v>
      </c>
      <c r="R160">
        <v>18.41</v>
      </c>
      <c r="S160">
        <v>150.04</v>
      </c>
      <c r="T160">
        <v>23.16</v>
      </c>
      <c r="U160">
        <v>-35.24</v>
      </c>
      <c r="V160">
        <v>48162.99</v>
      </c>
      <c r="W160" s="1">
        <v>44478</v>
      </c>
      <c r="X160" t="s">
        <v>25</v>
      </c>
    </row>
    <row r="161" spans="1:24" x14ac:dyDescent="0.3">
      <c r="A161" t="s">
        <v>1233</v>
      </c>
      <c r="B161" t="s">
        <v>480</v>
      </c>
      <c r="C161" t="s">
        <v>481</v>
      </c>
      <c r="D161" t="s">
        <v>95</v>
      </c>
      <c r="E161" t="s">
        <v>111</v>
      </c>
      <c r="F161" t="s">
        <v>23</v>
      </c>
      <c r="G161" t="s">
        <v>24</v>
      </c>
      <c r="H161">
        <v>4</v>
      </c>
      <c r="I161" t="s">
        <v>29</v>
      </c>
      <c r="J161" s="1">
        <v>45631</v>
      </c>
      <c r="K161" t="s">
        <v>1069</v>
      </c>
      <c r="L161" t="s">
        <v>1051</v>
      </c>
      <c r="M161">
        <v>8</v>
      </c>
      <c r="N161" t="s">
        <v>1052</v>
      </c>
      <c r="O161">
        <v>8</v>
      </c>
      <c r="P161">
        <v>8.27</v>
      </c>
      <c r="Q161">
        <v>0.27</v>
      </c>
      <c r="R161">
        <v>25.99</v>
      </c>
      <c r="S161">
        <v>214.94</v>
      </c>
      <c r="T161">
        <v>11.19</v>
      </c>
      <c r="U161">
        <v>125.42</v>
      </c>
      <c r="V161">
        <v>23282.84</v>
      </c>
      <c r="W161" s="1">
        <v>44384</v>
      </c>
      <c r="X161" t="s">
        <v>25</v>
      </c>
    </row>
    <row r="162" spans="1:24" x14ac:dyDescent="0.3">
      <c r="A162" t="s">
        <v>1149</v>
      </c>
      <c r="B162" t="s">
        <v>705</v>
      </c>
      <c r="C162" t="s">
        <v>706</v>
      </c>
      <c r="D162" t="s">
        <v>64</v>
      </c>
      <c r="E162" t="s">
        <v>65</v>
      </c>
      <c r="F162" t="s">
        <v>66</v>
      </c>
      <c r="G162" t="s">
        <v>37</v>
      </c>
      <c r="H162">
        <v>4</v>
      </c>
      <c r="I162" t="s">
        <v>29</v>
      </c>
      <c r="J162" s="1">
        <v>45643</v>
      </c>
      <c r="K162" t="s">
        <v>1069</v>
      </c>
      <c r="L162" t="s">
        <v>1055</v>
      </c>
      <c r="M162">
        <v>22</v>
      </c>
      <c r="N162" t="s">
        <v>1052</v>
      </c>
      <c r="O162">
        <v>8</v>
      </c>
      <c r="P162">
        <v>7.94</v>
      </c>
      <c r="Q162">
        <v>-0.06</v>
      </c>
      <c r="R162">
        <v>27.02</v>
      </c>
      <c r="S162">
        <v>214.54</v>
      </c>
      <c r="T162">
        <v>11.18</v>
      </c>
      <c r="U162">
        <v>125.1</v>
      </c>
      <c r="V162">
        <v>23260.35</v>
      </c>
      <c r="W162" s="1">
        <v>44333</v>
      </c>
      <c r="X162" t="s">
        <v>25</v>
      </c>
    </row>
    <row r="163" spans="1:24" x14ac:dyDescent="0.3">
      <c r="A163" t="s">
        <v>1150</v>
      </c>
      <c r="B163" t="s">
        <v>592</v>
      </c>
      <c r="C163" t="s">
        <v>593</v>
      </c>
      <c r="D163" t="s">
        <v>22</v>
      </c>
      <c r="E163" t="s">
        <v>260</v>
      </c>
      <c r="F163" t="s">
        <v>46</v>
      </c>
      <c r="G163" t="s">
        <v>97</v>
      </c>
      <c r="H163">
        <v>6</v>
      </c>
      <c r="I163" t="s">
        <v>29</v>
      </c>
      <c r="J163" s="1">
        <v>45636</v>
      </c>
      <c r="K163" t="s">
        <v>1069</v>
      </c>
      <c r="L163" t="s">
        <v>1066</v>
      </c>
      <c r="M163">
        <v>14</v>
      </c>
      <c r="N163" t="s">
        <v>1052</v>
      </c>
      <c r="O163">
        <v>8</v>
      </c>
      <c r="P163">
        <v>8.0399999999999991</v>
      </c>
      <c r="Q163">
        <v>0.04</v>
      </c>
      <c r="R163">
        <v>17.8</v>
      </c>
      <c r="S163">
        <v>143.11000000000001</v>
      </c>
      <c r="T163">
        <v>12.87</v>
      </c>
      <c r="U163">
        <v>40.15</v>
      </c>
      <c r="V163">
        <v>26765.45</v>
      </c>
      <c r="W163" s="1">
        <v>43834</v>
      </c>
      <c r="X163" t="s">
        <v>25</v>
      </c>
    </row>
    <row r="164" spans="1:24" x14ac:dyDescent="0.3">
      <c r="A164" t="s">
        <v>1278</v>
      </c>
      <c r="B164" t="s">
        <v>592</v>
      </c>
      <c r="C164" t="s">
        <v>593</v>
      </c>
      <c r="D164" t="s">
        <v>22</v>
      </c>
      <c r="E164" t="s">
        <v>260</v>
      </c>
      <c r="F164" t="s">
        <v>46</v>
      </c>
      <c r="G164" t="s">
        <v>97</v>
      </c>
      <c r="H164">
        <v>6</v>
      </c>
      <c r="I164" t="s">
        <v>29</v>
      </c>
      <c r="J164" s="1">
        <v>45533</v>
      </c>
      <c r="K164" t="s">
        <v>1054</v>
      </c>
      <c r="L164" t="s">
        <v>1066</v>
      </c>
      <c r="M164">
        <v>14</v>
      </c>
      <c r="N164" t="s">
        <v>1063</v>
      </c>
      <c r="O164">
        <v>8</v>
      </c>
      <c r="P164">
        <v>0</v>
      </c>
      <c r="Q164">
        <v>-8</v>
      </c>
      <c r="R164">
        <v>26.4</v>
      </c>
      <c r="S164">
        <v>0</v>
      </c>
      <c r="T164">
        <v>12.87</v>
      </c>
      <c r="U164">
        <v>-102.96</v>
      </c>
      <c r="V164">
        <v>26765.45</v>
      </c>
      <c r="W164" s="1">
        <v>43834</v>
      </c>
      <c r="X164" t="s">
        <v>152</v>
      </c>
    </row>
    <row r="165" spans="1:24" x14ac:dyDescent="0.3">
      <c r="A165" t="s">
        <v>1258</v>
      </c>
      <c r="B165" t="s">
        <v>494</v>
      </c>
      <c r="C165" t="s">
        <v>495</v>
      </c>
      <c r="D165" t="s">
        <v>132</v>
      </c>
      <c r="E165" t="s">
        <v>212</v>
      </c>
      <c r="F165" t="s">
        <v>23</v>
      </c>
      <c r="G165" t="s">
        <v>47</v>
      </c>
      <c r="H165">
        <v>1</v>
      </c>
      <c r="I165" t="s">
        <v>58</v>
      </c>
      <c r="J165" s="1">
        <v>45478</v>
      </c>
      <c r="K165" t="s">
        <v>1065</v>
      </c>
      <c r="L165" t="s">
        <v>1066</v>
      </c>
      <c r="M165">
        <v>14</v>
      </c>
      <c r="N165" t="s">
        <v>1060</v>
      </c>
      <c r="O165">
        <v>8</v>
      </c>
      <c r="P165">
        <v>5.78</v>
      </c>
      <c r="Q165">
        <v>-2.2200000000000002</v>
      </c>
      <c r="R165">
        <v>27.59</v>
      </c>
      <c r="S165">
        <v>159.47</v>
      </c>
      <c r="T165">
        <v>22.71</v>
      </c>
      <c r="U165">
        <v>-22.21</v>
      </c>
      <c r="V165">
        <v>47243.8</v>
      </c>
      <c r="W165" s="1">
        <v>45575</v>
      </c>
      <c r="X165" t="s">
        <v>25</v>
      </c>
    </row>
    <row r="166" spans="1:24" x14ac:dyDescent="0.3">
      <c r="A166" t="s">
        <v>1151</v>
      </c>
      <c r="B166" t="s">
        <v>498</v>
      </c>
      <c r="C166" t="s">
        <v>499</v>
      </c>
      <c r="D166" t="s">
        <v>132</v>
      </c>
      <c r="E166" t="s">
        <v>212</v>
      </c>
      <c r="F166" t="s">
        <v>46</v>
      </c>
      <c r="G166" t="s">
        <v>24</v>
      </c>
      <c r="H166">
        <v>5</v>
      </c>
      <c r="I166" t="s">
        <v>29</v>
      </c>
      <c r="J166" s="1">
        <v>45544</v>
      </c>
      <c r="K166" t="s">
        <v>1057</v>
      </c>
      <c r="L166" t="s">
        <v>1055</v>
      </c>
      <c r="M166">
        <v>22</v>
      </c>
      <c r="N166" t="s">
        <v>1052</v>
      </c>
      <c r="O166">
        <v>8</v>
      </c>
      <c r="P166">
        <v>7.85</v>
      </c>
      <c r="Q166">
        <v>-0.15</v>
      </c>
      <c r="R166">
        <v>25.6</v>
      </c>
      <c r="S166">
        <v>200.96</v>
      </c>
      <c r="T166">
        <v>16.66</v>
      </c>
      <c r="U166">
        <v>67.680000000000007</v>
      </c>
      <c r="V166">
        <v>34649.06</v>
      </c>
      <c r="W166" s="1">
        <v>44236</v>
      </c>
      <c r="X166" t="s">
        <v>1071</v>
      </c>
    </row>
    <row r="167" spans="1:24" x14ac:dyDescent="0.3">
      <c r="A167" t="s">
        <v>1191</v>
      </c>
      <c r="B167" t="s">
        <v>498</v>
      </c>
      <c r="C167" t="s">
        <v>499</v>
      </c>
      <c r="D167" t="s">
        <v>132</v>
      </c>
      <c r="E167" t="s">
        <v>212</v>
      </c>
      <c r="F167" t="s">
        <v>46</v>
      </c>
      <c r="G167" t="s">
        <v>24</v>
      </c>
      <c r="H167">
        <v>5</v>
      </c>
      <c r="I167" t="s">
        <v>29</v>
      </c>
      <c r="J167" s="1">
        <v>45608</v>
      </c>
      <c r="K167" t="s">
        <v>1062</v>
      </c>
      <c r="L167" t="s">
        <v>1055</v>
      </c>
      <c r="M167">
        <v>22</v>
      </c>
      <c r="N167" t="s">
        <v>1052</v>
      </c>
      <c r="O167">
        <v>8</v>
      </c>
      <c r="P167">
        <v>8.32</v>
      </c>
      <c r="Q167">
        <v>0.32</v>
      </c>
      <c r="R167">
        <v>27.54</v>
      </c>
      <c r="S167">
        <v>229.13</v>
      </c>
      <c r="T167">
        <v>16.66</v>
      </c>
      <c r="U167">
        <v>95.85</v>
      </c>
      <c r="V167">
        <v>34649.06</v>
      </c>
      <c r="W167" s="1">
        <v>44236</v>
      </c>
      <c r="X167" t="s">
        <v>152</v>
      </c>
    </row>
    <row r="168" spans="1:24" x14ac:dyDescent="0.3">
      <c r="A168" t="s">
        <v>1152</v>
      </c>
      <c r="B168" t="s">
        <v>632</v>
      </c>
      <c r="C168" t="s">
        <v>633</v>
      </c>
      <c r="D168" t="s">
        <v>95</v>
      </c>
      <c r="E168" t="s">
        <v>162</v>
      </c>
      <c r="F168" t="s">
        <v>46</v>
      </c>
      <c r="G168" t="s">
        <v>37</v>
      </c>
      <c r="H168">
        <v>2</v>
      </c>
      <c r="I168" t="s">
        <v>29</v>
      </c>
      <c r="J168" s="1">
        <v>45491</v>
      </c>
      <c r="K168" t="s">
        <v>1065</v>
      </c>
      <c r="L168" t="s">
        <v>1066</v>
      </c>
      <c r="M168">
        <v>14</v>
      </c>
      <c r="N168" t="s">
        <v>1052</v>
      </c>
      <c r="O168">
        <v>8</v>
      </c>
      <c r="P168">
        <v>8.44</v>
      </c>
      <c r="Q168">
        <v>0.44</v>
      </c>
      <c r="R168">
        <v>20.25</v>
      </c>
      <c r="S168">
        <v>170.91</v>
      </c>
      <c r="T168">
        <v>22.09</v>
      </c>
      <c r="U168">
        <v>-5.81</v>
      </c>
      <c r="V168">
        <v>45957.54</v>
      </c>
      <c r="W168" s="1">
        <v>45342</v>
      </c>
      <c r="X168" t="s">
        <v>25</v>
      </c>
    </row>
    <row r="169" spans="1:24" x14ac:dyDescent="0.3">
      <c r="A169" t="s">
        <v>1220</v>
      </c>
      <c r="B169" t="s">
        <v>502</v>
      </c>
      <c r="C169" t="s">
        <v>503</v>
      </c>
      <c r="D169" t="s">
        <v>22</v>
      </c>
      <c r="E169" t="s">
        <v>181</v>
      </c>
      <c r="F169" t="s">
        <v>46</v>
      </c>
      <c r="G169" t="s">
        <v>24</v>
      </c>
      <c r="H169">
        <v>4</v>
      </c>
      <c r="I169" t="s">
        <v>29</v>
      </c>
      <c r="J169" s="1">
        <v>45634</v>
      </c>
      <c r="K169" t="s">
        <v>1069</v>
      </c>
      <c r="L169" t="s">
        <v>1058</v>
      </c>
      <c r="M169">
        <v>6</v>
      </c>
      <c r="N169" t="s">
        <v>1052</v>
      </c>
      <c r="O169">
        <v>8</v>
      </c>
      <c r="P169">
        <v>8.23</v>
      </c>
      <c r="Q169">
        <v>0.23</v>
      </c>
      <c r="R169">
        <v>16.36</v>
      </c>
      <c r="S169">
        <v>134.63999999999999</v>
      </c>
      <c r="T169">
        <v>13.11</v>
      </c>
      <c r="U169">
        <v>29.76</v>
      </c>
      <c r="V169">
        <v>27272.400000000001</v>
      </c>
      <c r="W169" s="1">
        <v>44328</v>
      </c>
      <c r="X169" t="s">
        <v>25</v>
      </c>
    </row>
    <row r="170" spans="1:24" x14ac:dyDescent="0.3">
      <c r="A170" t="s">
        <v>1274</v>
      </c>
      <c r="B170" t="s">
        <v>506</v>
      </c>
      <c r="C170" t="s">
        <v>507</v>
      </c>
      <c r="D170" t="s">
        <v>132</v>
      </c>
      <c r="E170" t="s">
        <v>212</v>
      </c>
      <c r="F170" t="s">
        <v>46</v>
      </c>
      <c r="G170" t="s">
        <v>47</v>
      </c>
      <c r="H170">
        <v>3</v>
      </c>
      <c r="I170" t="s">
        <v>58</v>
      </c>
      <c r="J170" s="1">
        <v>45657</v>
      </c>
      <c r="K170" t="s">
        <v>1069</v>
      </c>
      <c r="L170" t="s">
        <v>1066</v>
      </c>
      <c r="M170">
        <v>14</v>
      </c>
      <c r="N170" t="s">
        <v>1052</v>
      </c>
      <c r="O170">
        <v>8</v>
      </c>
      <c r="P170">
        <v>8.16</v>
      </c>
      <c r="Q170">
        <v>0.16</v>
      </c>
      <c r="R170">
        <v>21.83</v>
      </c>
      <c r="S170">
        <v>178.13</v>
      </c>
      <c r="T170">
        <v>22.3</v>
      </c>
      <c r="U170">
        <v>-0.27</v>
      </c>
      <c r="V170">
        <v>46377.48</v>
      </c>
      <c r="W170" s="1">
        <v>44775</v>
      </c>
      <c r="X170" t="s">
        <v>152</v>
      </c>
    </row>
    <row r="171" spans="1:24" x14ac:dyDescent="0.3">
      <c r="A171" t="s">
        <v>1184</v>
      </c>
      <c r="B171" t="s">
        <v>515</v>
      </c>
      <c r="C171" t="s">
        <v>516</v>
      </c>
      <c r="D171" t="s">
        <v>73</v>
      </c>
      <c r="E171" t="s">
        <v>424</v>
      </c>
      <c r="F171" t="s">
        <v>66</v>
      </c>
      <c r="G171" t="s">
        <v>37</v>
      </c>
      <c r="H171">
        <v>6</v>
      </c>
      <c r="I171" t="s">
        <v>58</v>
      </c>
      <c r="J171" s="1">
        <v>45633</v>
      </c>
      <c r="K171" t="s">
        <v>1069</v>
      </c>
      <c r="L171" t="s">
        <v>1066</v>
      </c>
      <c r="M171">
        <v>14</v>
      </c>
      <c r="N171" t="s">
        <v>1052</v>
      </c>
      <c r="O171">
        <v>8</v>
      </c>
      <c r="P171">
        <v>8.49</v>
      </c>
      <c r="Q171">
        <v>0.49</v>
      </c>
      <c r="R171">
        <v>14.09</v>
      </c>
      <c r="S171">
        <v>119.62</v>
      </c>
      <c r="T171">
        <v>13.07</v>
      </c>
      <c r="U171">
        <v>15.06</v>
      </c>
      <c r="V171">
        <v>27186</v>
      </c>
      <c r="W171" s="1">
        <v>43856</v>
      </c>
      <c r="X171" t="s">
        <v>152</v>
      </c>
    </row>
    <row r="172" spans="1:24" x14ac:dyDescent="0.3">
      <c r="A172" t="s">
        <v>1156</v>
      </c>
      <c r="B172" t="s">
        <v>569</v>
      </c>
      <c r="C172" t="s">
        <v>570</v>
      </c>
      <c r="D172" t="s">
        <v>35</v>
      </c>
      <c r="E172" t="s">
        <v>45</v>
      </c>
      <c r="F172" t="s">
        <v>55</v>
      </c>
      <c r="G172" t="s">
        <v>97</v>
      </c>
      <c r="H172">
        <v>2</v>
      </c>
      <c r="I172" t="s">
        <v>58</v>
      </c>
      <c r="J172" s="1">
        <v>45559</v>
      </c>
      <c r="K172" t="s">
        <v>1057</v>
      </c>
      <c r="L172" t="s">
        <v>1066</v>
      </c>
      <c r="M172">
        <v>14</v>
      </c>
      <c r="N172" t="s">
        <v>1060</v>
      </c>
      <c r="O172">
        <v>8</v>
      </c>
      <c r="P172">
        <v>6.55</v>
      </c>
      <c r="Q172">
        <v>-1.45</v>
      </c>
      <c r="R172">
        <v>14.46</v>
      </c>
      <c r="S172">
        <v>94.71</v>
      </c>
      <c r="T172">
        <v>15.19</v>
      </c>
      <c r="U172">
        <v>-26.81</v>
      </c>
      <c r="V172">
        <v>31599.119999999999</v>
      </c>
      <c r="W172" s="1">
        <v>45176</v>
      </c>
      <c r="X172" t="s">
        <v>25</v>
      </c>
    </row>
    <row r="173" spans="1:24" x14ac:dyDescent="0.3">
      <c r="A173" t="s">
        <v>1182</v>
      </c>
      <c r="B173" t="s">
        <v>569</v>
      </c>
      <c r="C173" t="s">
        <v>570</v>
      </c>
      <c r="D173" t="s">
        <v>35</v>
      </c>
      <c r="E173" t="s">
        <v>45</v>
      </c>
      <c r="F173" t="s">
        <v>55</v>
      </c>
      <c r="G173" t="s">
        <v>97</v>
      </c>
      <c r="H173">
        <v>2</v>
      </c>
      <c r="I173" t="s">
        <v>58</v>
      </c>
      <c r="J173" s="1">
        <v>45581</v>
      </c>
      <c r="K173" t="s">
        <v>1050</v>
      </c>
      <c r="L173" t="s">
        <v>1051</v>
      </c>
      <c r="M173">
        <v>8</v>
      </c>
      <c r="N173" t="s">
        <v>1073</v>
      </c>
      <c r="O173">
        <v>8</v>
      </c>
      <c r="P173">
        <v>0</v>
      </c>
      <c r="Q173">
        <v>-8</v>
      </c>
      <c r="R173">
        <v>13.56</v>
      </c>
      <c r="S173">
        <v>0</v>
      </c>
      <c r="T173">
        <v>15.19</v>
      </c>
      <c r="U173">
        <v>-121.52</v>
      </c>
      <c r="V173">
        <v>31599.119999999999</v>
      </c>
      <c r="W173" s="1">
        <v>45176</v>
      </c>
      <c r="X173" t="s">
        <v>25</v>
      </c>
    </row>
    <row r="174" spans="1:24" x14ac:dyDescent="0.3">
      <c r="A174" t="s">
        <v>1251</v>
      </c>
      <c r="B174" t="s">
        <v>569</v>
      </c>
      <c r="C174" t="s">
        <v>570</v>
      </c>
      <c r="D174" t="s">
        <v>35</v>
      </c>
      <c r="E174" t="s">
        <v>45</v>
      </c>
      <c r="F174" t="s">
        <v>55</v>
      </c>
      <c r="G174" t="s">
        <v>97</v>
      </c>
      <c r="H174">
        <v>2</v>
      </c>
      <c r="I174" t="s">
        <v>58</v>
      </c>
      <c r="J174" s="1">
        <v>45541</v>
      </c>
      <c r="K174" t="s">
        <v>1057</v>
      </c>
      <c r="L174" t="s">
        <v>1066</v>
      </c>
      <c r="M174">
        <v>14</v>
      </c>
      <c r="N174" t="s">
        <v>1052</v>
      </c>
      <c r="O174">
        <v>8</v>
      </c>
      <c r="P174">
        <v>7.9</v>
      </c>
      <c r="Q174">
        <v>-0.1</v>
      </c>
      <c r="R174">
        <v>14.04</v>
      </c>
      <c r="S174">
        <v>110.92</v>
      </c>
      <c r="T174">
        <v>15.19</v>
      </c>
      <c r="U174">
        <v>-10.6</v>
      </c>
      <c r="V174">
        <v>31599.119999999999</v>
      </c>
      <c r="W174" s="1">
        <v>45176</v>
      </c>
      <c r="X174" t="s">
        <v>25</v>
      </c>
    </row>
    <row r="175" spans="1:24" x14ac:dyDescent="0.3">
      <c r="A175" t="s">
        <v>1180</v>
      </c>
      <c r="B175" t="s">
        <v>519</v>
      </c>
      <c r="C175" t="s">
        <v>520</v>
      </c>
      <c r="D175" t="s">
        <v>22</v>
      </c>
      <c r="E175" t="s">
        <v>260</v>
      </c>
      <c r="F175" t="s">
        <v>46</v>
      </c>
      <c r="G175" t="s">
        <v>24</v>
      </c>
      <c r="H175">
        <v>4</v>
      </c>
      <c r="I175" t="s">
        <v>58</v>
      </c>
      <c r="J175" s="1">
        <v>45642</v>
      </c>
      <c r="K175" t="s">
        <v>1069</v>
      </c>
      <c r="L175" t="s">
        <v>1055</v>
      </c>
      <c r="M175">
        <v>22</v>
      </c>
      <c r="N175" t="s">
        <v>1073</v>
      </c>
      <c r="O175">
        <v>8</v>
      </c>
      <c r="P175">
        <v>0</v>
      </c>
      <c r="Q175">
        <v>-8</v>
      </c>
      <c r="R175">
        <v>16.440000000000001</v>
      </c>
      <c r="S175">
        <v>0</v>
      </c>
      <c r="T175">
        <v>9.5500000000000007</v>
      </c>
      <c r="U175">
        <v>-76.400000000000006</v>
      </c>
      <c r="V175">
        <v>19869.990000000002</v>
      </c>
      <c r="W175" s="1">
        <v>44615</v>
      </c>
      <c r="X175" t="s">
        <v>1071</v>
      </c>
    </row>
    <row r="176" spans="1:24" x14ac:dyDescent="0.3">
      <c r="A176" t="s">
        <v>1212</v>
      </c>
      <c r="B176" t="s">
        <v>519</v>
      </c>
      <c r="C176" t="s">
        <v>520</v>
      </c>
      <c r="D176" t="s">
        <v>22</v>
      </c>
      <c r="E176" t="s">
        <v>260</v>
      </c>
      <c r="F176" t="s">
        <v>46</v>
      </c>
      <c r="G176" t="s">
        <v>24</v>
      </c>
      <c r="H176">
        <v>4</v>
      </c>
      <c r="I176" t="s">
        <v>58</v>
      </c>
      <c r="J176" s="1">
        <v>45568</v>
      </c>
      <c r="K176" t="s">
        <v>1050</v>
      </c>
      <c r="L176" t="s">
        <v>1051</v>
      </c>
      <c r="M176">
        <v>8</v>
      </c>
      <c r="N176" t="s">
        <v>1052</v>
      </c>
      <c r="O176">
        <v>8</v>
      </c>
      <c r="P176">
        <v>7.97</v>
      </c>
      <c r="Q176">
        <v>-0.03</v>
      </c>
      <c r="R176">
        <v>22.66</v>
      </c>
      <c r="S176">
        <v>180.6</v>
      </c>
      <c r="T176">
        <v>9.5500000000000007</v>
      </c>
      <c r="U176">
        <v>104.2</v>
      </c>
      <c r="V176">
        <v>19869.990000000002</v>
      </c>
      <c r="W176" s="1">
        <v>44615</v>
      </c>
      <c r="X176" t="s">
        <v>152</v>
      </c>
    </row>
    <row r="177" spans="1:24" x14ac:dyDescent="0.3">
      <c r="A177" t="s">
        <v>1157</v>
      </c>
      <c r="B177" t="s">
        <v>611</v>
      </c>
      <c r="C177" t="s">
        <v>612</v>
      </c>
      <c r="D177" t="s">
        <v>64</v>
      </c>
      <c r="E177" t="s">
        <v>430</v>
      </c>
      <c r="F177" t="s">
        <v>66</v>
      </c>
      <c r="G177" t="s">
        <v>37</v>
      </c>
      <c r="H177">
        <v>5</v>
      </c>
      <c r="I177" t="s">
        <v>29</v>
      </c>
      <c r="J177" s="1">
        <v>45487</v>
      </c>
      <c r="K177" t="s">
        <v>1065</v>
      </c>
      <c r="L177" t="s">
        <v>1066</v>
      </c>
      <c r="M177">
        <v>14</v>
      </c>
      <c r="N177" t="s">
        <v>1073</v>
      </c>
      <c r="O177">
        <v>8</v>
      </c>
      <c r="P177">
        <v>0</v>
      </c>
      <c r="Q177">
        <v>-8</v>
      </c>
      <c r="R177">
        <v>13.6</v>
      </c>
      <c r="S177">
        <v>0</v>
      </c>
      <c r="T177">
        <v>16.850000000000001</v>
      </c>
      <c r="U177">
        <v>-134.80000000000001</v>
      </c>
      <c r="V177">
        <v>35050.67</v>
      </c>
      <c r="W177" s="1">
        <v>44128</v>
      </c>
      <c r="X177" t="s">
        <v>152</v>
      </c>
    </row>
    <row r="178" spans="1:24" x14ac:dyDescent="0.3">
      <c r="A178" t="s">
        <v>1158</v>
      </c>
      <c r="B178" t="s">
        <v>661</v>
      </c>
      <c r="C178" t="s">
        <v>662</v>
      </c>
      <c r="D178" t="s">
        <v>95</v>
      </c>
      <c r="E178" t="s">
        <v>111</v>
      </c>
      <c r="F178" t="s">
        <v>55</v>
      </c>
      <c r="G178" t="s">
        <v>37</v>
      </c>
      <c r="H178">
        <v>4</v>
      </c>
      <c r="I178" t="s">
        <v>29</v>
      </c>
      <c r="J178" s="1">
        <v>45549</v>
      </c>
      <c r="K178" t="s">
        <v>1057</v>
      </c>
      <c r="L178" t="s">
        <v>1066</v>
      </c>
      <c r="M178">
        <v>14</v>
      </c>
      <c r="N178" t="s">
        <v>1060</v>
      </c>
      <c r="O178">
        <v>8</v>
      </c>
      <c r="P178">
        <v>5.95</v>
      </c>
      <c r="Q178">
        <v>-2.0499999999999998</v>
      </c>
      <c r="R178">
        <v>23.1</v>
      </c>
      <c r="S178">
        <v>137.44</v>
      </c>
      <c r="T178">
        <v>26.28</v>
      </c>
      <c r="U178">
        <v>-72.8</v>
      </c>
      <c r="V178">
        <v>54655.92</v>
      </c>
      <c r="W178" s="1">
        <v>44647</v>
      </c>
      <c r="X178" t="s">
        <v>1071</v>
      </c>
    </row>
    <row r="179" spans="1:24" x14ac:dyDescent="0.3">
      <c r="A179" t="s">
        <v>1265</v>
      </c>
      <c r="B179" t="s">
        <v>661</v>
      </c>
      <c r="C179" t="s">
        <v>662</v>
      </c>
      <c r="D179" t="s">
        <v>95</v>
      </c>
      <c r="E179" t="s">
        <v>111</v>
      </c>
      <c r="F179" t="s">
        <v>55</v>
      </c>
      <c r="G179" t="s">
        <v>37</v>
      </c>
      <c r="H179">
        <v>4</v>
      </c>
      <c r="I179" t="s">
        <v>29</v>
      </c>
      <c r="J179" s="1">
        <v>45638</v>
      </c>
      <c r="K179" t="s">
        <v>1069</v>
      </c>
      <c r="L179" t="s">
        <v>1058</v>
      </c>
      <c r="M179">
        <v>6</v>
      </c>
      <c r="N179" t="s">
        <v>1060</v>
      </c>
      <c r="O179">
        <v>8</v>
      </c>
      <c r="P179">
        <v>5.7</v>
      </c>
      <c r="Q179">
        <v>-2.2999999999999998</v>
      </c>
      <c r="R179">
        <v>12.41</v>
      </c>
      <c r="S179">
        <v>70.739999999999995</v>
      </c>
      <c r="T179">
        <v>26.28</v>
      </c>
      <c r="U179">
        <v>-139.5</v>
      </c>
      <c r="V179">
        <v>54655.92</v>
      </c>
      <c r="W179" s="1">
        <v>44647</v>
      </c>
      <c r="X179" t="s">
        <v>25</v>
      </c>
    </row>
    <row r="180" spans="1:24" x14ac:dyDescent="0.3">
      <c r="A180" t="s">
        <v>1159</v>
      </c>
      <c r="B180" t="s">
        <v>927</v>
      </c>
      <c r="C180" t="s">
        <v>928</v>
      </c>
      <c r="D180" t="s">
        <v>118</v>
      </c>
      <c r="E180" t="s">
        <v>218</v>
      </c>
      <c r="F180" t="s">
        <v>66</v>
      </c>
      <c r="G180" t="s">
        <v>37</v>
      </c>
      <c r="H180">
        <v>4</v>
      </c>
      <c r="I180" t="s">
        <v>29</v>
      </c>
      <c r="J180" s="1">
        <v>45525</v>
      </c>
      <c r="K180" t="s">
        <v>1054</v>
      </c>
      <c r="L180" t="s">
        <v>1058</v>
      </c>
      <c r="M180">
        <v>6</v>
      </c>
      <c r="N180" t="s">
        <v>1052</v>
      </c>
      <c r="O180">
        <v>8</v>
      </c>
      <c r="P180">
        <v>8.09</v>
      </c>
      <c r="Q180">
        <v>0.09</v>
      </c>
      <c r="R180">
        <v>19.579999999999998</v>
      </c>
      <c r="S180">
        <v>158.4</v>
      </c>
      <c r="T180">
        <v>14.28</v>
      </c>
      <c r="U180">
        <v>44.16</v>
      </c>
      <c r="V180">
        <v>29694.28</v>
      </c>
      <c r="W180" s="1">
        <v>44610</v>
      </c>
      <c r="X180" t="s">
        <v>25</v>
      </c>
    </row>
    <row r="181" spans="1:24" x14ac:dyDescent="0.3">
      <c r="A181" t="s">
        <v>1161</v>
      </c>
      <c r="B181" t="s">
        <v>623</v>
      </c>
      <c r="C181" t="s">
        <v>624</v>
      </c>
      <c r="D181" t="s">
        <v>132</v>
      </c>
      <c r="E181" t="s">
        <v>133</v>
      </c>
      <c r="F181" t="s">
        <v>55</v>
      </c>
      <c r="G181" t="s">
        <v>24</v>
      </c>
      <c r="H181">
        <v>3</v>
      </c>
      <c r="I181" t="s">
        <v>29</v>
      </c>
      <c r="J181" s="1">
        <v>45502</v>
      </c>
      <c r="K181" t="s">
        <v>1065</v>
      </c>
      <c r="L181" t="s">
        <v>1055</v>
      </c>
      <c r="M181">
        <v>22</v>
      </c>
      <c r="N181" t="s">
        <v>1052</v>
      </c>
      <c r="O181">
        <v>8</v>
      </c>
      <c r="P181">
        <v>8.27</v>
      </c>
      <c r="Q181">
        <v>0.27</v>
      </c>
      <c r="R181">
        <v>25.02</v>
      </c>
      <c r="S181">
        <v>206.92</v>
      </c>
      <c r="T181">
        <v>15.86</v>
      </c>
      <c r="U181">
        <v>80.040000000000006</v>
      </c>
      <c r="V181">
        <v>32995.300000000003</v>
      </c>
      <c r="W181" s="1">
        <v>44856</v>
      </c>
      <c r="X181" t="s">
        <v>25</v>
      </c>
    </row>
    <row r="182" spans="1:24" x14ac:dyDescent="0.3">
      <c r="A182" t="s">
        <v>1194</v>
      </c>
      <c r="B182" t="s">
        <v>540</v>
      </c>
      <c r="C182" t="s">
        <v>541</v>
      </c>
      <c r="D182" t="s">
        <v>22</v>
      </c>
      <c r="E182" t="s">
        <v>260</v>
      </c>
      <c r="F182" t="s">
        <v>46</v>
      </c>
      <c r="G182" t="s">
        <v>37</v>
      </c>
      <c r="H182">
        <v>3</v>
      </c>
      <c r="I182" t="s">
        <v>29</v>
      </c>
      <c r="J182" s="1">
        <v>45540</v>
      </c>
      <c r="K182" t="s">
        <v>1057</v>
      </c>
      <c r="L182" t="s">
        <v>1051</v>
      </c>
      <c r="M182">
        <v>8</v>
      </c>
      <c r="N182" t="s">
        <v>1052</v>
      </c>
      <c r="O182">
        <v>8</v>
      </c>
      <c r="P182">
        <v>7.88</v>
      </c>
      <c r="Q182">
        <v>-0.12</v>
      </c>
      <c r="R182">
        <v>19.39</v>
      </c>
      <c r="S182">
        <v>152.79</v>
      </c>
      <c r="T182">
        <v>18</v>
      </c>
      <c r="U182">
        <v>8.7899999999999991</v>
      </c>
      <c r="V182">
        <v>37442.65</v>
      </c>
      <c r="W182" s="1">
        <v>44986</v>
      </c>
      <c r="X182" t="s">
        <v>25</v>
      </c>
    </row>
    <row r="183" spans="1:24" x14ac:dyDescent="0.3">
      <c r="A183" t="s">
        <v>1163</v>
      </c>
      <c r="B183" t="s">
        <v>935</v>
      </c>
      <c r="C183" t="s">
        <v>936</v>
      </c>
      <c r="D183" t="s">
        <v>224</v>
      </c>
      <c r="E183" t="s">
        <v>347</v>
      </c>
      <c r="F183" t="s">
        <v>66</v>
      </c>
      <c r="G183" t="s">
        <v>24</v>
      </c>
      <c r="H183">
        <v>2</v>
      </c>
      <c r="I183" t="s">
        <v>58</v>
      </c>
      <c r="J183" s="1">
        <v>45542</v>
      </c>
      <c r="K183" t="s">
        <v>1057</v>
      </c>
      <c r="L183" t="s">
        <v>1066</v>
      </c>
      <c r="M183">
        <v>14</v>
      </c>
      <c r="N183" t="s">
        <v>1052</v>
      </c>
      <c r="O183">
        <v>8</v>
      </c>
      <c r="P183">
        <v>7.94</v>
      </c>
      <c r="Q183">
        <v>-0.06</v>
      </c>
      <c r="R183">
        <v>12.1</v>
      </c>
      <c r="S183">
        <v>96.07</v>
      </c>
      <c r="T183">
        <v>13.18</v>
      </c>
      <c r="U183">
        <v>-9.3699999999999992</v>
      </c>
      <c r="V183">
        <v>27408.7</v>
      </c>
      <c r="W183" s="1">
        <v>45227</v>
      </c>
      <c r="X183" t="s">
        <v>152</v>
      </c>
    </row>
    <row r="184" spans="1:24" x14ac:dyDescent="0.3">
      <c r="A184" t="s">
        <v>1165</v>
      </c>
      <c r="B184" t="s">
        <v>877</v>
      </c>
      <c r="C184" t="s">
        <v>878</v>
      </c>
      <c r="D184" t="s">
        <v>95</v>
      </c>
      <c r="E184" t="s">
        <v>162</v>
      </c>
      <c r="F184" t="s">
        <v>46</v>
      </c>
      <c r="G184" t="s">
        <v>37</v>
      </c>
      <c r="H184">
        <v>6</v>
      </c>
      <c r="I184" t="s">
        <v>58</v>
      </c>
      <c r="J184" s="1">
        <v>45617</v>
      </c>
      <c r="K184" t="s">
        <v>1062</v>
      </c>
      <c r="L184" t="s">
        <v>1066</v>
      </c>
      <c r="M184">
        <v>14</v>
      </c>
      <c r="N184" t="s">
        <v>1052</v>
      </c>
      <c r="O184">
        <v>8</v>
      </c>
      <c r="P184">
        <v>7.86</v>
      </c>
      <c r="Q184">
        <v>-0.14000000000000001</v>
      </c>
      <c r="R184">
        <v>15.89</v>
      </c>
      <c r="S184">
        <v>124.9</v>
      </c>
      <c r="T184">
        <v>9.6199999999999992</v>
      </c>
      <c r="U184">
        <v>47.94</v>
      </c>
      <c r="V184">
        <v>20000.29</v>
      </c>
      <c r="W184" s="1">
        <v>43879</v>
      </c>
      <c r="X184" t="s">
        <v>152</v>
      </c>
    </row>
    <row r="185" spans="1:24" x14ac:dyDescent="0.3">
      <c r="A185" t="s">
        <v>1186</v>
      </c>
      <c r="B185" t="s">
        <v>877</v>
      </c>
      <c r="C185" t="s">
        <v>878</v>
      </c>
      <c r="D185" t="s">
        <v>95</v>
      </c>
      <c r="E185" t="s">
        <v>162</v>
      </c>
      <c r="F185" t="s">
        <v>46</v>
      </c>
      <c r="G185" t="s">
        <v>37</v>
      </c>
      <c r="H185">
        <v>6</v>
      </c>
      <c r="I185" t="s">
        <v>58</v>
      </c>
      <c r="J185" s="1">
        <v>45653</v>
      </c>
      <c r="K185" t="s">
        <v>1069</v>
      </c>
      <c r="L185" t="s">
        <v>1055</v>
      </c>
      <c r="M185">
        <v>22</v>
      </c>
      <c r="N185" t="s">
        <v>1052</v>
      </c>
      <c r="O185">
        <v>8</v>
      </c>
      <c r="P185">
        <v>8.32</v>
      </c>
      <c r="Q185">
        <v>0.32</v>
      </c>
      <c r="R185">
        <v>14.01</v>
      </c>
      <c r="S185">
        <v>116.56</v>
      </c>
      <c r="T185">
        <v>9.6199999999999992</v>
      </c>
      <c r="U185">
        <v>39.6</v>
      </c>
      <c r="V185">
        <v>20000.29</v>
      </c>
      <c r="W185" s="1">
        <v>43879</v>
      </c>
      <c r="X185" t="s">
        <v>152</v>
      </c>
    </row>
    <row r="186" spans="1:24" x14ac:dyDescent="0.3">
      <c r="A186" t="s">
        <v>1232</v>
      </c>
      <c r="B186" t="s">
        <v>562</v>
      </c>
      <c r="C186" t="s">
        <v>563</v>
      </c>
      <c r="D186" t="s">
        <v>118</v>
      </c>
      <c r="E186" t="s">
        <v>169</v>
      </c>
      <c r="F186" t="s">
        <v>23</v>
      </c>
      <c r="G186" t="s">
        <v>24</v>
      </c>
      <c r="H186">
        <v>5</v>
      </c>
      <c r="I186" t="s">
        <v>29</v>
      </c>
      <c r="J186" s="1">
        <v>45638</v>
      </c>
      <c r="K186" t="s">
        <v>1069</v>
      </c>
      <c r="L186" t="s">
        <v>1055</v>
      </c>
      <c r="M186">
        <v>22</v>
      </c>
      <c r="N186" t="s">
        <v>1052</v>
      </c>
      <c r="O186">
        <v>8</v>
      </c>
      <c r="P186">
        <v>8.09</v>
      </c>
      <c r="Q186">
        <v>0.09</v>
      </c>
      <c r="R186">
        <v>13.59</v>
      </c>
      <c r="S186">
        <v>109.94</v>
      </c>
      <c r="T186">
        <v>14.54</v>
      </c>
      <c r="U186">
        <v>-6.38</v>
      </c>
      <c r="V186">
        <v>30235.31</v>
      </c>
      <c r="W186" s="1">
        <v>44131</v>
      </c>
      <c r="X186" t="s">
        <v>152</v>
      </c>
    </row>
    <row r="187" spans="1:24" x14ac:dyDescent="0.3">
      <c r="A187" t="s">
        <v>1283</v>
      </c>
      <c r="B187" t="s">
        <v>576</v>
      </c>
      <c r="C187" t="s">
        <v>577</v>
      </c>
      <c r="D187" t="s">
        <v>73</v>
      </c>
      <c r="E187" t="s">
        <v>424</v>
      </c>
      <c r="F187" t="s">
        <v>23</v>
      </c>
      <c r="G187" t="s">
        <v>37</v>
      </c>
      <c r="H187">
        <v>1</v>
      </c>
      <c r="I187" t="s">
        <v>58</v>
      </c>
      <c r="J187" s="1">
        <v>45517</v>
      </c>
      <c r="K187" t="s">
        <v>1054</v>
      </c>
      <c r="L187" t="s">
        <v>1055</v>
      </c>
      <c r="M187">
        <v>22</v>
      </c>
      <c r="N187" t="s">
        <v>1060</v>
      </c>
      <c r="O187">
        <v>8</v>
      </c>
      <c r="P187">
        <v>7.42</v>
      </c>
      <c r="Q187">
        <v>-0.57999999999999996</v>
      </c>
      <c r="R187">
        <v>19.149999999999999</v>
      </c>
      <c r="S187">
        <v>142.09</v>
      </c>
      <c r="T187">
        <v>16.78</v>
      </c>
      <c r="U187">
        <v>7.85</v>
      </c>
      <c r="V187">
        <v>34901.54</v>
      </c>
      <c r="W187" s="1">
        <v>45510</v>
      </c>
      <c r="X187" t="s">
        <v>152</v>
      </c>
    </row>
    <row r="188" spans="1:24" x14ac:dyDescent="0.3">
      <c r="A188" t="s">
        <v>1174</v>
      </c>
      <c r="B188" t="s">
        <v>837</v>
      </c>
      <c r="C188" t="s">
        <v>838</v>
      </c>
      <c r="D188" t="s">
        <v>95</v>
      </c>
      <c r="E188" t="s">
        <v>162</v>
      </c>
      <c r="F188" t="s">
        <v>46</v>
      </c>
      <c r="G188" t="s">
        <v>97</v>
      </c>
      <c r="H188">
        <v>6</v>
      </c>
      <c r="I188" t="s">
        <v>29</v>
      </c>
      <c r="J188" s="1">
        <v>45625</v>
      </c>
      <c r="K188" t="s">
        <v>1062</v>
      </c>
      <c r="L188" t="s">
        <v>1055</v>
      </c>
      <c r="M188">
        <v>22</v>
      </c>
      <c r="N188" t="s">
        <v>1052</v>
      </c>
      <c r="O188">
        <v>8</v>
      </c>
      <c r="P188">
        <v>8.17</v>
      </c>
      <c r="Q188">
        <v>0.17</v>
      </c>
      <c r="R188">
        <v>19.12</v>
      </c>
      <c r="S188">
        <v>156.21</v>
      </c>
      <c r="T188">
        <v>17.899999999999999</v>
      </c>
      <c r="U188">
        <v>13.01</v>
      </c>
      <c r="V188">
        <v>37228.46</v>
      </c>
      <c r="W188" s="1">
        <v>43750</v>
      </c>
      <c r="X188" t="s">
        <v>25</v>
      </c>
    </row>
    <row r="189" spans="1:24" x14ac:dyDescent="0.3">
      <c r="A189" t="s">
        <v>1259</v>
      </c>
      <c r="B189" t="s">
        <v>603</v>
      </c>
      <c r="C189" t="s">
        <v>604</v>
      </c>
      <c r="D189" t="s">
        <v>22</v>
      </c>
      <c r="E189" t="s">
        <v>22</v>
      </c>
      <c r="F189" t="s">
        <v>55</v>
      </c>
      <c r="G189" t="s">
        <v>37</v>
      </c>
      <c r="H189">
        <v>5</v>
      </c>
      <c r="I189" t="s">
        <v>29</v>
      </c>
      <c r="J189" s="1">
        <v>45564</v>
      </c>
      <c r="K189" t="s">
        <v>1057</v>
      </c>
      <c r="L189" t="s">
        <v>1066</v>
      </c>
      <c r="M189">
        <v>14</v>
      </c>
      <c r="N189" t="s">
        <v>1052</v>
      </c>
      <c r="O189">
        <v>8</v>
      </c>
      <c r="P189">
        <v>8.1</v>
      </c>
      <c r="Q189">
        <v>0.1</v>
      </c>
      <c r="R189">
        <v>17.239999999999998</v>
      </c>
      <c r="S189">
        <v>139.63999999999999</v>
      </c>
      <c r="T189">
        <v>24.92</v>
      </c>
      <c r="U189">
        <v>-59.72</v>
      </c>
      <c r="V189">
        <v>51834.33</v>
      </c>
      <c r="W189" s="1">
        <v>44204</v>
      </c>
      <c r="X189" t="s">
        <v>152</v>
      </c>
    </row>
    <row r="190" spans="1:24" x14ac:dyDescent="0.3">
      <c r="A190" t="s">
        <v>1178</v>
      </c>
      <c r="B190" t="s">
        <v>894</v>
      </c>
      <c r="C190" t="s">
        <v>895</v>
      </c>
      <c r="D190" t="s">
        <v>132</v>
      </c>
      <c r="E190" t="s">
        <v>896</v>
      </c>
      <c r="F190" t="s">
        <v>55</v>
      </c>
      <c r="G190" t="s">
        <v>37</v>
      </c>
      <c r="H190">
        <v>2</v>
      </c>
      <c r="I190" t="s">
        <v>29</v>
      </c>
      <c r="J190" s="1">
        <v>45537</v>
      </c>
      <c r="K190" t="s">
        <v>1057</v>
      </c>
      <c r="L190" t="s">
        <v>1051</v>
      </c>
      <c r="M190">
        <v>8</v>
      </c>
      <c r="N190" t="s">
        <v>1052</v>
      </c>
      <c r="O190">
        <v>8</v>
      </c>
      <c r="P190">
        <v>7.78</v>
      </c>
      <c r="Q190">
        <v>-0.22</v>
      </c>
      <c r="R190">
        <v>13.22</v>
      </c>
      <c r="S190">
        <v>102.85</v>
      </c>
      <c r="T190">
        <v>24.25</v>
      </c>
      <c r="U190">
        <v>-91.15</v>
      </c>
      <c r="V190">
        <v>50432.13</v>
      </c>
      <c r="W190" s="1">
        <v>45105</v>
      </c>
      <c r="X190" t="s">
        <v>1071</v>
      </c>
    </row>
    <row r="191" spans="1:24" x14ac:dyDescent="0.3">
      <c r="A191" t="s">
        <v>1179</v>
      </c>
      <c r="B191" t="s">
        <v>665</v>
      </c>
      <c r="C191" t="s">
        <v>666</v>
      </c>
      <c r="D191" t="s">
        <v>73</v>
      </c>
      <c r="E191" t="s">
        <v>87</v>
      </c>
      <c r="F191" t="s">
        <v>66</v>
      </c>
      <c r="G191" t="s">
        <v>97</v>
      </c>
      <c r="H191">
        <v>3</v>
      </c>
      <c r="I191" t="s">
        <v>58</v>
      </c>
      <c r="J191" s="1">
        <v>45644</v>
      </c>
      <c r="K191" t="s">
        <v>1069</v>
      </c>
      <c r="L191" t="s">
        <v>1051</v>
      </c>
      <c r="M191">
        <v>8</v>
      </c>
      <c r="N191" t="s">
        <v>1052</v>
      </c>
      <c r="O191">
        <v>8</v>
      </c>
      <c r="P191">
        <v>8.14</v>
      </c>
      <c r="Q191">
        <v>0.14000000000000001</v>
      </c>
      <c r="R191">
        <v>20.22</v>
      </c>
      <c r="S191">
        <v>164.59</v>
      </c>
      <c r="T191">
        <v>25.83</v>
      </c>
      <c r="U191">
        <v>-42.05</v>
      </c>
      <c r="V191">
        <v>53731.519999999997</v>
      </c>
      <c r="W191" s="1">
        <v>44747</v>
      </c>
      <c r="X191" t="s">
        <v>25</v>
      </c>
    </row>
    <row r="192" spans="1:24" x14ac:dyDescent="0.3">
      <c r="A192" t="s">
        <v>1281</v>
      </c>
      <c r="B192" t="s">
        <v>615</v>
      </c>
      <c r="C192" t="s">
        <v>616</v>
      </c>
      <c r="D192" t="s">
        <v>22</v>
      </c>
      <c r="E192" t="s">
        <v>22</v>
      </c>
      <c r="F192" t="s">
        <v>23</v>
      </c>
      <c r="G192" t="s">
        <v>24</v>
      </c>
      <c r="H192">
        <v>3</v>
      </c>
      <c r="I192" t="s">
        <v>58</v>
      </c>
      <c r="J192" s="1">
        <v>45508</v>
      </c>
      <c r="K192" t="s">
        <v>1054</v>
      </c>
      <c r="L192" t="s">
        <v>1066</v>
      </c>
      <c r="M192">
        <v>14</v>
      </c>
      <c r="N192" t="s">
        <v>1052</v>
      </c>
      <c r="O192">
        <v>8</v>
      </c>
      <c r="P192">
        <v>7.81</v>
      </c>
      <c r="Q192">
        <v>-0.19</v>
      </c>
      <c r="R192">
        <v>18.809999999999999</v>
      </c>
      <c r="S192">
        <v>146.91</v>
      </c>
      <c r="T192">
        <v>12.54</v>
      </c>
      <c r="U192">
        <v>46.59</v>
      </c>
      <c r="V192">
        <v>26092.63</v>
      </c>
      <c r="W192" s="1">
        <v>44695</v>
      </c>
      <c r="X192" t="s">
        <v>152</v>
      </c>
    </row>
    <row r="193" spans="1:24" x14ac:dyDescent="0.3">
      <c r="A193" t="s">
        <v>1181</v>
      </c>
      <c r="B193" t="s">
        <v>776</v>
      </c>
      <c r="C193" t="s">
        <v>777</v>
      </c>
      <c r="D193" t="s">
        <v>73</v>
      </c>
      <c r="E193" t="s">
        <v>74</v>
      </c>
      <c r="F193" t="s">
        <v>23</v>
      </c>
      <c r="G193" t="s">
        <v>47</v>
      </c>
      <c r="H193">
        <v>3</v>
      </c>
      <c r="I193" t="s">
        <v>29</v>
      </c>
      <c r="J193" s="1">
        <v>45611</v>
      </c>
      <c r="K193" t="s">
        <v>1062</v>
      </c>
      <c r="L193" t="s">
        <v>1051</v>
      </c>
      <c r="M193">
        <v>8</v>
      </c>
      <c r="N193" t="s">
        <v>1052</v>
      </c>
      <c r="O193">
        <v>8</v>
      </c>
      <c r="P193">
        <v>7.84</v>
      </c>
      <c r="Q193">
        <v>-0.16</v>
      </c>
      <c r="R193">
        <v>22.92</v>
      </c>
      <c r="S193">
        <v>179.69</v>
      </c>
      <c r="T193">
        <v>12.18</v>
      </c>
      <c r="U193">
        <v>82.25</v>
      </c>
      <c r="V193">
        <v>25330.92</v>
      </c>
      <c r="W193" s="1">
        <v>44808</v>
      </c>
      <c r="X193" t="s">
        <v>152</v>
      </c>
    </row>
    <row r="194" spans="1:24" x14ac:dyDescent="0.3">
      <c r="A194" t="s">
        <v>1279</v>
      </c>
      <c r="B194" t="s">
        <v>627</v>
      </c>
      <c r="C194" t="s">
        <v>628</v>
      </c>
      <c r="D194" t="s">
        <v>118</v>
      </c>
      <c r="E194" t="s">
        <v>169</v>
      </c>
      <c r="F194" t="s">
        <v>55</v>
      </c>
      <c r="G194" t="s">
        <v>24</v>
      </c>
      <c r="H194">
        <v>2</v>
      </c>
      <c r="I194" t="s">
        <v>29</v>
      </c>
      <c r="J194" s="1">
        <v>45560</v>
      </c>
      <c r="K194" t="s">
        <v>1057</v>
      </c>
      <c r="L194" t="s">
        <v>1055</v>
      </c>
      <c r="M194">
        <v>22</v>
      </c>
      <c r="N194" t="s">
        <v>1063</v>
      </c>
      <c r="O194">
        <v>8</v>
      </c>
      <c r="P194">
        <v>0</v>
      </c>
      <c r="Q194">
        <v>-8</v>
      </c>
      <c r="R194">
        <v>16.54</v>
      </c>
      <c r="S194">
        <v>0</v>
      </c>
      <c r="T194">
        <v>20.83</v>
      </c>
      <c r="U194">
        <v>-166.64</v>
      </c>
      <c r="V194">
        <v>43323.86</v>
      </c>
      <c r="W194" s="1">
        <v>45054</v>
      </c>
      <c r="X194" t="s">
        <v>152</v>
      </c>
    </row>
    <row r="195" spans="1:24" x14ac:dyDescent="0.3">
      <c r="A195" t="s">
        <v>1185</v>
      </c>
      <c r="B195" t="s">
        <v>724</v>
      </c>
      <c r="C195" t="s">
        <v>725</v>
      </c>
      <c r="D195" t="s">
        <v>224</v>
      </c>
      <c r="E195" t="s">
        <v>225</v>
      </c>
      <c r="F195" t="s">
        <v>46</v>
      </c>
      <c r="G195" t="s">
        <v>47</v>
      </c>
      <c r="H195">
        <v>2</v>
      </c>
      <c r="I195" t="s">
        <v>58</v>
      </c>
      <c r="J195" s="1">
        <v>45657</v>
      </c>
      <c r="K195" t="s">
        <v>1069</v>
      </c>
      <c r="L195" t="s">
        <v>1058</v>
      </c>
      <c r="M195">
        <v>6</v>
      </c>
      <c r="N195" t="s">
        <v>1063</v>
      </c>
      <c r="O195">
        <v>8</v>
      </c>
      <c r="P195">
        <v>0</v>
      </c>
      <c r="Q195">
        <v>-8</v>
      </c>
      <c r="R195">
        <v>16.329999999999998</v>
      </c>
      <c r="S195">
        <v>0</v>
      </c>
      <c r="T195">
        <v>19.829999999999998</v>
      </c>
      <c r="U195">
        <v>-158.63999999999999</v>
      </c>
      <c r="V195">
        <v>41238.959999999999</v>
      </c>
      <c r="W195" s="1">
        <v>45318</v>
      </c>
      <c r="X195" t="s">
        <v>25</v>
      </c>
    </row>
    <row r="196" spans="1:24" x14ac:dyDescent="0.3">
      <c r="A196" t="s">
        <v>1268</v>
      </c>
      <c r="B196" t="s">
        <v>724</v>
      </c>
      <c r="C196" t="s">
        <v>725</v>
      </c>
      <c r="D196" t="s">
        <v>224</v>
      </c>
      <c r="E196" t="s">
        <v>225</v>
      </c>
      <c r="F196" t="s">
        <v>46</v>
      </c>
      <c r="G196" t="s">
        <v>47</v>
      </c>
      <c r="H196">
        <v>2</v>
      </c>
      <c r="I196" t="s">
        <v>58</v>
      </c>
      <c r="J196" s="1">
        <v>45553</v>
      </c>
      <c r="K196" t="s">
        <v>1057</v>
      </c>
      <c r="L196" t="s">
        <v>1055</v>
      </c>
      <c r="M196">
        <v>22</v>
      </c>
      <c r="N196" t="s">
        <v>1052</v>
      </c>
      <c r="O196">
        <v>8</v>
      </c>
      <c r="P196">
        <v>8.01</v>
      </c>
      <c r="Q196">
        <v>0.01</v>
      </c>
      <c r="R196">
        <v>20.88</v>
      </c>
      <c r="S196">
        <v>167.25</v>
      </c>
      <c r="T196">
        <v>19.829999999999998</v>
      </c>
      <c r="U196">
        <v>8.61</v>
      </c>
      <c r="V196">
        <v>41238.959999999999</v>
      </c>
      <c r="W196" s="1">
        <v>45318</v>
      </c>
      <c r="X196" t="s">
        <v>1071</v>
      </c>
    </row>
    <row r="197" spans="1:24" x14ac:dyDescent="0.3">
      <c r="A197" t="s">
        <v>1201</v>
      </c>
      <c r="B197" t="s">
        <v>636</v>
      </c>
      <c r="C197" t="s">
        <v>637</v>
      </c>
      <c r="D197" t="s">
        <v>35</v>
      </c>
      <c r="E197" t="s">
        <v>125</v>
      </c>
      <c r="F197" t="s">
        <v>66</v>
      </c>
      <c r="G197" t="s">
        <v>47</v>
      </c>
      <c r="H197">
        <v>6</v>
      </c>
      <c r="I197" t="s">
        <v>29</v>
      </c>
      <c r="J197" s="1">
        <v>45636</v>
      </c>
      <c r="K197" t="s">
        <v>1069</v>
      </c>
      <c r="L197" t="s">
        <v>1055</v>
      </c>
      <c r="M197">
        <v>22</v>
      </c>
      <c r="N197" t="s">
        <v>1052</v>
      </c>
      <c r="O197">
        <v>8</v>
      </c>
      <c r="P197">
        <v>7.76</v>
      </c>
      <c r="Q197">
        <v>-0.24</v>
      </c>
      <c r="R197">
        <v>25.33</v>
      </c>
      <c r="S197">
        <v>196.56</v>
      </c>
      <c r="T197">
        <v>14.98</v>
      </c>
      <c r="U197">
        <v>76.72</v>
      </c>
      <c r="V197">
        <v>31165.01</v>
      </c>
      <c r="W197" s="1">
        <v>43701</v>
      </c>
      <c r="X197" t="s">
        <v>25</v>
      </c>
    </row>
    <row r="198" spans="1:24" x14ac:dyDescent="0.3">
      <c r="A198" t="s">
        <v>1187</v>
      </c>
      <c r="B198" t="s">
        <v>999</v>
      </c>
      <c r="C198" t="s">
        <v>1000</v>
      </c>
      <c r="D198" t="s">
        <v>132</v>
      </c>
      <c r="E198" t="s">
        <v>896</v>
      </c>
      <c r="F198" t="s">
        <v>23</v>
      </c>
      <c r="G198" t="s">
        <v>47</v>
      </c>
      <c r="H198">
        <v>6</v>
      </c>
      <c r="I198" t="s">
        <v>29</v>
      </c>
      <c r="J198" s="1">
        <v>45487</v>
      </c>
      <c r="K198" t="s">
        <v>1065</v>
      </c>
      <c r="L198" t="s">
        <v>1051</v>
      </c>
      <c r="M198">
        <v>8</v>
      </c>
      <c r="N198" t="s">
        <v>1052</v>
      </c>
      <c r="O198">
        <v>8</v>
      </c>
      <c r="P198">
        <v>7.95</v>
      </c>
      <c r="Q198">
        <v>-0.05</v>
      </c>
      <c r="R198">
        <v>12.5</v>
      </c>
      <c r="S198">
        <v>99.38</v>
      </c>
      <c r="T198">
        <v>13.34</v>
      </c>
      <c r="U198">
        <v>-7.34</v>
      </c>
      <c r="V198">
        <v>27739.68</v>
      </c>
      <c r="W198" s="1">
        <v>43813</v>
      </c>
      <c r="X198" t="s">
        <v>1071</v>
      </c>
    </row>
    <row r="199" spans="1:24" x14ac:dyDescent="0.3">
      <c r="A199" t="s">
        <v>1269</v>
      </c>
      <c r="B199" t="s">
        <v>645</v>
      </c>
      <c r="C199" t="s">
        <v>646</v>
      </c>
      <c r="D199" t="s">
        <v>64</v>
      </c>
      <c r="E199" t="s">
        <v>430</v>
      </c>
      <c r="F199" t="s">
        <v>55</v>
      </c>
      <c r="G199" t="s">
        <v>97</v>
      </c>
      <c r="H199">
        <v>5</v>
      </c>
      <c r="I199" t="s">
        <v>58</v>
      </c>
      <c r="J199" s="1">
        <v>45581</v>
      </c>
      <c r="K199" t="s">
        <v>1050</v>
      </c>
      <c r="L199" t="s">
        <v>1051</v>
      </c>
      <c r="M199">
        <v>8</v>
      </c>
      <c r="N199" t="s">
        <v>1052</v>
      </c>
      <c r="O199">
        <v>8</v>
      </c>
      <c r="P199">
        <v>7.85</v>
      </c>
      <c r="Q199">
        <v>-0.15</v>
      </c>
      <c r="R199">
        <v>24.31</v>
      </c>
      <c r="S199">
        <v>190.83</v>
      </c>
      <c r="T199">
        <v>16.010000000000002</v>
      </c>
      <c r="U199">
        <v>62.75</v>
      </c>
      <c r="V199">
        <v>33310.97</v>
      </c>
      <c r="W199" s="1">
        <v>44033</v>
      </c>
      <c r="X199" t="s">
        <v>152</v>
      </c>
    </row>
    <row r="200" spans="1:24" x14ac:dyDescent="0.3">
      <c r="A200" t="s">
        <v>1235</v>
      </c>
      <c r="B200" t="s">
        <v>653</v>
      </c>
      <c r="C200" t="s">
        <v>654</v>
      </c>
      <c r="D200" t="s">
        <v>95</v>
      </c>
      <c r="E200" t="s">
        <v>162</v>
      </c>
      <c r="F200" t="s">
        <v>23</v>
      </c>
      <c r="G200" t="s">
        <v>97</v>
      </c>
      <c r="H200">
        <v>6</v>
      </c>
      <c r="I200" t="s">
        <v>58</v>
      </c>
      <c r="J200" s="1">
        <v>45649</v>
      </c>
      <c r="K200" t="s">
        <v>1069</v>
      </c>
      <c r="L200" t="s">
        <v>1058</v>
      </c>
      <c r="M200">
        <v>6</v>
      </c>
      <c r="N200" t="s">
        <v>1063</v>
      </c>
      <c r="O200">
        <v>8</v>
      </c>
      <c r="P200">
        <v>0</v>
      </c>
      <c r="Q200">
        <v>-8</v>
      </c>
      <c r="R200">
        <v>24.29</v>
      </c>
      <c r="S200">
        <v>0</v>
      </c>
      <c r="T200">
        <v>14.36</v>
      </c>
      <c r="U200">
        <v>-114.88</v>
      </c>
      <c r="V200">
        <v>29864.61</v>
      </c>
      <c r="W200" s="1">
        <v>43688</v>
      </c>
      <c r="X200" t="s">
        <v>152</v>
      </c>
    </row>
    <row r="201" spans="1:24" x14ac:dyDescent="0.3">
      <c r="A201" t="s">
        <v>1193</v>
      </c>
      <c r="B201" t="s">
        <v>829</v>
      </c>
      <c r="C201" t="s">
        <v>830</v>
      </c>
      <c r="D201" t="s">
        <v>132</v>
      </c>
      <c r="E201" t="s">
        <v>212</v>
      </c>
      <c r="F201" t="s">
        <v>46</v>
      </c>
      <c r="G201" t="s">
        <v>37</v>
      </c>
      <c r="H201">
        <v>4</v>
      </c>
      <c r="I201" t="s">
        <v>29</v>
      </c>
      <c r="J201" s="1">
        <v>45565</v>
      </c>
      <c r="K201" t="s">
        <v>1057</v>
      </c>
      <c r="L201" t="s">
        <v>1055</v>
      </c>
      <c r="M201">
        <v>22</v>
      </c>
      <c r="N201" t="s">
        <v>1060</v>
      </c>
      <c r="O201">
        <v>8</v>
      </c>
      <c r="P201">
        <v>7.13</v>
      </c>
      <c r="Q201">
        <v>-0.87</v>
      </c>
      <c r="R201">
        <v>18.43</v>
      </c>
      <c r="S201">
        <v>131.41</v>
      </c>
      <c r="T201">
        <v>25.92</v>
      </c>
      <c r="U201">
        <v>-75.95</v>
      </c>
      <c r="V201">
        <v>53916.1</v>
      </c>
      <c r="W201" s="1">
        <v>44421</v>
      </c>
      <c r="X201" t="s">
        <v>25</v>
      </c>
    </row>
    <row r="202" spans="1:24" x14ac:dyDescent="0.3">
      <c r="A202" t="s">
        <v>1225</v>
      </c>
      <c r="B202" t="s">
        <v>669</v>
      </c>
      <c r="C202" t="s">
        <v>670</v>
      </c>
      <c r="D202" t="s">
        <v>95</v>
      </c>
      <c r="E202" t="s">
        <v>96</v>
      </c>
      <c r="F202" t="s">
        <v>55</v>
      </c>
      <c r="G202" t="s">
        <v>47</v>
      </c>
      <c r="H202">
        <v>3</v>
      </c>
      <c r="I202" t="s">
        <v>29</v>
      </c>
      <c r="J202" s="1">
        <v>45495</v>
      </c>
      <c r="K202" t="s">
        <v>1065</v>
      </c>
      <c r="L202" t="s">
        <v>1058</v>
      </c>
      <c r="M202">
        <v>6</v>
      </c>
      <c r="N202" t="s">
        <v>1060</v>
      </c>
      <c r="O202">
        <v>8</v>
      </c>
      <c r="P202">
        <v>5.65</v>
      </c>
      <c r="Q202">
        <v>-2.35</v>
      </c>
      <c r="R202">
        <v>22.61</v>
      </c>
      <c r="S202">
        <v>127.75</v>
      </c>
      <c r="T202">
        <v>14.85</v>
      </c>
      <c r="U202">
        <v>8.9499999999999993</v>
      </c>
      <c r="V202">
        <v>30888.16</v>
      </c>
      <c r="W202" s="1">
        <v>44926</v>
      </c>
      <c r="X202" t="s">
        <v>152</v>
      </c>
    </row>
    <row r="203" spans="1:24" x14ac:dyDescent="0.3">
      <c r="A203" t="s">
        <v>1195</v>
      </c>
      <c r="B203" t="s">
        <v>869</v>
      </c>
      <c r="C203" t="s">
        <v>870</v>
      </c>
      <c r="D203" t="s">
        <v>22</v>
      </c>
      <c r="E203" t="s">
        <v>181</v>
      </c>
      <c r="F203" t="s">
        <v>23</v>
      </c>
      <c r="G203" t="s">
        <v>37</v>
      </c>
      <c r="H203">
        <v>5</v>
      </c>
      <c r="I203" t="s">
        <v>29</v>
      </c>
      <c r="J203" s="1">
        <v>45581</v>
      </c>
      <c r="K203" t="s">
        <v>1050</v>
      </c>
      <c r="L203" t="s">
        <v>1058</v>
      </c>
      <c r="M203">
        <v>6</v>
      </c>
      <c r="N203" t="s">
        <v>1052</v>
      </c>
      <c r="O203">
        <v>8</v>
      </c>
      <c r="P203">
        <v>8.1</v>
      </c>
      <c r="Q203">
        <v>0.1</v>
      </c>
      <c r="R203">
        <v>14.68</v>
      </c>
      <c r="S203">
        <v>118.91</v>
      </c>
      <c r="T203">
        <v>24.78</v>
      </c>
      <c r="U203">
        <v>-79.33</v>
      </c>
      <c r="V203">
        <v>51541.48</v>
      </c>
      <c r="W203" s="1">
        <v>44253</v>
      </c>
      <c r="X203" t="s">
        <v>1071</v>
      </c>
    </row>
    <row r="204" spans="1:24" x14ac:dyDescent="0.3">
      <c r="A204" t="s">
        <v>1205</v>
      </c>
      <c r="B204" t="s">
        <v>677</v>
      </c>
      <c r="C204" t="s">
        <v>678</v>
      </c>
      <c r="D204" t="s">
        <v>22</v>
      </c>
      <c r="E204" t="s">
        <v>181</v>
      </c>
      <c r="F204" t="s">
        <v>66</v>
      </c>
      <c r="G204" t="s">
        <v>37</v>
      </c>
      <c r="H204">
        <v>2</v>
      </c>
      <c r="I204" t="s">
        <v>29</v>
      </c>
      <c r="J204" s="1">
        <v>45610</v>
      </c>
      <c r="K204" t="s">
        <v>1062</v>
      </c>
      <c r="L204" t="s">
        <v>1066</v>
      </c>
      <c r="M204">
        <v>14</v>
      </c>
      <c r="N204" t="s">
        <v>1052</v>
      </c>
      <c r="O204">
        <v>8</v>
      </c>
      <c r="P204">
        <v>8.0399999999999991</v>
      </c>
      <c r="Q204">
        <v>0.04</v>
      </c>
      <c r="R204">
        <v>13.2</v>
      </c>
      <c r="S204">
        <v>106.13</v>
      </c>
      <c r="T204">
        <v>8.73</v>
      </c>
      <c r="U204">
        <v>36.29</v>
      </c>
      <c r="V204">
        <v>18164.650000000001</v>
      </c>
      <c r="W204" s="1">
        <v>45189</v>
      </c>
      <c r="X204" t="s">
        <v>25</v>
      </c>
    </row>
    <row r="205" spans="1:24" x14ac:dyDescent="0.3">
      <c r="A205" t="s">
        <v>1267</v>
      </c>
      <c r="B205" t="s">
        <v>677</v>
      </c>
      <c r="C205" t="s">
        <v>678</v>
      </c>
      <c r="D205" t="s">
        <v>22</v>
      </c>
      <c r="E205" t="s">
        <v>181</v>
      </c>
      <c r="F205" t="s">
        <v>66</v>
      </c>
      <c r="G205" t="s">
        <v>37</v>
      </c>
      <c r="H205">
        <v>2</v>
      </c>
      <c r="I205" t="s">
        <v>29</v>
      </c>
      <c r="J205" s="1">
        <v>45551</v>
      </c>
      <c r="K205" t="s">
        <v>1057</v>
      </c>
      <c r="L205" t="s">
        <v>1055</v>
      </c>
      <c r="M205">
        <v>22</v>
      </c>
      <c r="N205" t="s">
        <v>1060</v>
      </c>
      <c r="O205">
        <v>8</v>
      </c>
      <c r="P205">
        <v>6.02</v>
      </c>
      <c r="Q205">
        <v>-1.98</v>
      </c>
      <c r="R205">
        <v>13.81</v>
      </c>
      <c r="S205">
        <v>83.14</v>
      </c>
      <c r="T205">
        <v>8.73</v>
      </c>
      <c r="U205">
        <v>13.3</v>
      </c>
      <c r="V205">
        <v>18164.650000000001</v>
      </c>
      <c r="W205" s="1">
        <v>45189</v>
      </c>
      <c r="X205" t="s">
        <v>25</v>
      </c>
    </row>
    <row r="206" spans="1:24" x14ac:dyDescent="0.3">
      <c r="A206" t="s">
        <v>1196</v>
      </c>
      <c r="B206" t="s">
        <v>685</v>
      </c>
      <c r="C206" t="s">
        <v>686</v>
      </c>
      <c r="D206" t="s">
        <v>224</v>
      </c>
      <c r="E206" t="s">
        <v>347</v>
      </c>
      <c r="F206" t="s">
        <v>66</v>
      </c>
      <c r="G206" t="s">
        <v>37</v>
      </c>
      <c r="H206">
        <v>4</v>
      </c>
      <c r="I206" t="s">
        <v>58</v>
      </c>
      <c r="J206" s="1">
        <v>45642</v>
      </c>
      <c r="K206" t="s">
        <v>1069</v>
      </c>
      <c r="L206" t="s">
        <v>1051</v>
      </c>
      <c r="M206">
        <v>8</v>
      </c>
      <c r="N206" t="s">
        <v>1063</v>
      </c>
      <c r="O206">
        <v>8</v>
      </c>
      <c r="P206">
        <v>0</v>
      </c>
      <c r="Q206">
        <v>-8</v>
      </c>
      <c r="R206">
        <v>24.23</v>
      </c>
      <c r="S206">
        <v>0</v>
      </c>
      <c r="T206">
        <v>19.260000000000002</v>
      </c>
      <c r="U206">
        <v>-154.08000000000001</v>
      </c>
      <c r="V206">
        <v>40067.760000000002</v>
      </c>
      <c r="W206" s="1">
        <v>44451</v>
      </c>
      <c r="X206" t="s">
        <v>152</v>
      </c>
    </row>
    <row r="207" spans="1:24" x14ac:dyDescent="0.3">
      <c r="A207" t="s">
        <v>1199</v>
      </c>
      <c r="B207" t="s">
        <v>865</v>
      </c>
      <c r="C207" t="s">
        <v>866</v>
      </c>
      <c r="D207" t="s">
        <v>35</v>
      </c>
      <c r="E207" t="s">
        <v>45</v>
      </c>
      <c r="F207" t="s">
        <v>46</v>
      </c>
      <c r="G207" t="s">
        <v>47</v>
      </c>
      <c r="H207">
        <v>5</v>
      </c>
      <c r="I207" t="s">
        <v>29</v>
      </c>
      <c r="J207" s="1">
        <v>45635</v>
      </c>
      <c r="K207" t="s">
        <v>1069</v>
      </c>
      <c r="L207" t="s">
        <v>1058</v>
      </c>
      <c r="M207">
        <v>6</v>
      </c>
      <c r="N207" t="s">
        <v>1073</v>
      </c>
      <c r="O207">
        <v>8</v>
      </c>
      <c r="P207">
        <v>0</v>
      </c>
      <c r="Q207">
        <v>-8</v>
      </c>
      <c r="R207">
        <v>23.75</v>
      </c>
      <c r="S207">
        <v>0</v>
      </c>
      <c r="T207">
        <v>11.32</v>
      </c>
      <c r="U207">
        <v>-90.56</v>
      </c>
      <c r="V207">
        <v>23547.38</v>
      </c>
      <c r="W207" s="1">
        <v>44061</v>
      </c>
      <c r="X207" t="s">
        <v>25</v>
      </c>
    </row>
    <row r="208" spans="1:24" x14ac:dyDescent="0.3">
      <c r="A208" t="s">
        <v>1266</v>
      </c>
      <c r="B208" t="s">
        <v>701</v>
      </c>
      <c r="C208" t="s">
        <v>702</v>
      </c>
      <c r="D208" t="s">
        <v>64</v>
      </c>
      <c r="E208" t="s">
        <v>555</v>
      </c>
      <c r="F208" t="s">
        <v>46</v>
      </c>
      <c r="G208" t="s">
        <v>47</v>
      </c>
      <c r="H208">
        <v>5</v>
      </c>
      <c r="I208" t="s">
        <v>58</v>
      </c>
      <c r="J208" s="1">
        <v>45606</v>
      </c>
      <c r="K208" t="s">
        <v>1062</v>
      </c>
      <c r="L208" t="s">
        <v>1066</v>
      </c>
      <c r="M208">
        <v>14</v>
      </c>
      <c r="N208" t="s">
        <v>1052</v>
      </c>
      <c r="O208">
        <v>8</v>
      </c>
      <c r="P208">
        <v>8.4600000000000009</v>
      </c>
      <c r="Q208">
        <v>0.46</v>
      </c>
      <c r="R208">
        <v>17.79</v>
      </c>
      <c r="S208">
        <v>150.5</v>
      </c>
      <c r="T208">
        <v>14.41</v>
      </c>
      <c r="U208">
        <v>35.22</v>
      </c>
      <c r="V208">
        <v>29975.18</v>
      </c>
      <c r="W208" s="1">
        <v>44187</v>
      </c>
      <c r="X208" t="s">
        <v>1071</v>
      </c>
    </row>
    <row r="209" spans="1:24" x14ac:dyDescent="0.3">
      <c r="A209" t="s">
        <v>1204</v>
      </c>
      <c r="B209" t="s">
        <v>801</v>
      </c>
      <c r="C209" t="s">
        <v>802</v>
      </c>
      <c r="D209" t="s">
        <v>64</v>
      </c>
      <c r="E209" t="s">
        <v>65</v>
      </c>
      <c r="F209" t="s">
        <v>46</v>
      </c>
      <c r="G209" t="s">
        <v>37</v>
      </c>
      <c r="H209">
        <v>3</v>
      </c>
      <c r="I209" t="s">
        <v>29</v>
      </c>
      <c r="J209" s="1">
        <v>45498</v>
      </c>
      <c r="K209" t="s">
        <v>1065</v>
      </c>
      <c r="L209" t="s">
        <v>1051</v>
      </c>
      <c r="M209">
        <v>8</v>
      </c>
      <c r="N209" t="s">
        <v>1063</v>
      </c>
      <c r="O209">
        <v>8</v>
      </c>
      <c r="P209">
        <v>0</v>
      </c>
      <c r="Q209">
        <v>-8</v>
      </c>
      <c r="R209">
        <v>17.18</v>
      </c>
      <c r="S209">
        <v>0</v>
      </c>
      <c r="T209">
        <v>19.079999999999998</v>
      </c>
      <c r="U209">
        <v>-152.63999999999999</v>
      </c>
      <c r="V209">
        <v>39682.620000000003</v>
      </c>
      <c r="W209" s="1">
        <v>44939</v>
      </c>
      <c r="X209" t="s">
        <v>25</v>
      </c>
    </row>
    <row r="210" spans="1:24" x14ac:dyDescent="0.3">
      <c r="A210" t="s">
        <v>1240</v>
      </c>
      <c r="B210" t="s">
        <v>801</v>
      </c>
      <c r="C210" t="s">
        <v>802</v>
      </c>
      <c r="D210" t="s">
        <v>64</v>
      </c>
      <c r="E210" t="s">
        <v>65</v>
      </c>
      <c r="F210" t="s">
        <v>46</v>
      </c>
      <c r="G210" t="s">
        <v>37</v>
      </c>
      <c r="H210">
        <v>3</v>
      </c>
      <c r="I210" t="s">
        <v>29</v>
      </c>
      <c r="J210" s="1">
        <v>45573</v>
      </c>
      <c r="K210" t="s">
        <v>1050</v>
      </c>
      <c r="L210" t="s">
        <v>1066</v>
      </c>
      <c r="M210">
        <v>14</v>
      </c>
      <c r="N210" t="s">
        <v>1052</v>
      </c>
      <c r="O210">
        <v>8</v>
      </c>
      <c r="P210">
        <v>7.84</v>
      </c>
      <c r="Q210">
        <v>-0.16</v>
      </c>
      <c r="R210">
        <v>13.44</v>
      </c>
      <c r="S210">
        <v>105.37</v>
      </c>
      <c r="T210">
        <v>19.079999999999998</v>
      </c>
      <c r="U210">
        <v>-47.27</v>
      </c>
      <c r="V210">
        <v>39682.620000000003</v>
      </c>
      <c r="W210" s="1">
        <v>44939</v>
      </c>
      <c r="X210" t="s">
        <v>1071</v>
      </c>
    </row>
    <row r="211" spans="1:24" x14ac:dyDescent="0.3">
      <c r="A211" t="s">
        <v>1245</v>
      </c>
      <c r="B211" t="s">
        <v>732</v>
      </c>
      <c r="C211" t="s">
        <v>733</v>
      </c>
      <c r="D211" t="s">
        <v>22</v>
      </c>
      <c r="E211" t="s">
        <v>181</v>
      </c>
      <c r="F211" t="s">
        <v>55</v>
      </c>
      <c r="G211" t="s">
        <v>24</v>
      </c>
      <c r="H211">
        <v>6</v>
      </c>
      <c r="I211" t="s">
        <v>29</v>
      </c>
      <c r="J211" s="1">
        <v>45500</v>
      </c>
      <c r="K211" t="s">
        <v>1065</v>
      </c>
      <c r="L211" t="s">
        <v>1058</v>
      </c>
      <c r="M211">
        <v>6</v>
      </c>
      <c r="N211" t="s">
        <v>1063</v>
      </c>
      <c r="O211">
        <v>8</v>
      </c>
      <c r="P211">
        <v>0</v>
      </c>
      <c r="Q211">
        <v>-8</v>
      </c>
      <c r="R211">
        <v>18.62</v>
      </c>
      <c r="S211">
        <v>0</v>
      </c>
      <c r="T211">
        <v>26.21</v>
      </c>
      <c r="U211">
        <v>-209.68</v>
      </c>
      <c r="V211">
        <v>54514.65</v>
      </c>
      <c r="W211" s="1">
        <v>43716</v>
      </c>
      <c r="X211" t="s">
        <v>25</v>
      </c>
    </row>
    <row r="212" spans="1:24" x14ac:dyDescent="0.3">
      <c r="A212" t="s">
        <v>1211</v>
      </c>
      <c r="B212" t="s">
        <v>744</v>
      </c>
      <c r="C212" t="s">
        <v>745</v>
      </c>
      <c r="D212" t="s">
        <v>224</v>
      </c>
      <c r="E212" t="s">
        <v>225</v>
      </c>
      <c r="F212" t="s">
        <v>23</v>
      </c>
      <c r="G212" t="s">
        <v>97</v>
      </c>
      <c r="H212">
        <v>2</v>
      </c>
      <c r="I212" t="s">
        <v>58</v>
      </c>
      <c r="J212" s="1">
        <v>45502</v>
      </c>
      <c r="K212" t="s">
        <v>1065</v>
      </c>
      <c r="L212" t="s">
        <v>1055</v>
      </c>
      <c r="M212">
        <v>22</v>
      </c>
      <c r="N212" t="s">
        <v>1052</v>
      </c>
      <c r="O212">
        <v>8</v>
      </c>
      <c r="P212">
        <v>8.43</v>
      </c>
      <c r="Q212">
        <v>0.43</v>
      </c>
      <c r="R212">
        <v>18.71</v>
      </c>
      <c r="S212">
        <v>157.72999999999999</v>
      </c>
      <c r="T212">
        <v>21.69</v>
      </c>
      <c r="U212">
        <v>-15.79</v>
      </c>
      <c r="V212">
        <v>45118.63</v>
      </c>
      <c r="W212" s="1">
        <v>45387</v>
      </c>
      <c r="X212" t="s">
        <v>152</v>
      </c>
    </row>
    <row r="213" spans="1:24" x14ac:dyDescent="0.3">
      <c r="A213" t="s">
        <v>1273</v>
      </c>
      <c r="B213" t="s">
        <v>744</v>
      </c>
      <c r="C213" t="s">
        <v>745</v>
      </c>
      <c r="D213" t="s">
        <v>224</v>
      </c>
      <c r="E213" t="s">
        <v>225</v>
      </c>
      <c r="F213" t="s">
        <v>23</v>
      </c>
      <c r="G213" t="s">
        <v>97</v>
      </c>
      <c r="H213">
        <v>2</v>
      </c>
      <c r="I213" t="s">
        <v>58</v>
      </c>
      <c r="J213" s="1">
        <v>45522</v>
      </c>
      <c r="K213" t="s">
        <v>1054</v>
      </c>
      <c r="L213" t="s">
        <v>1066</v>
      </c>
      <c r="M213">
        <v>14</v>
      </c>
      <c r="N213" t="s">
        <v>1063</v>
      </c>
      <c r="O213">
        <v>8</v>
      </c>
      <c r="P213">
        <v>0</v>
      </c>
      <c r="Q213">
        <v>-8</v>
      </c>
      <c r="R213">
        <v>17.579999999999998</v>
      </c>
      <c r="S213">
        <v>0</v>
      </c>
      <c r="T213">
        <v>21.69</v>
      </c>
      <c r="U213">
        <v>-173.52</v>
      </c>
      <c r="V213">
        <v>45118.63</v>
      </c>
      <c r="W213" s="1">
        <v>45387</v>
      </c>
      <c r="X213" t="s">
        <v>25</v>
      </c>
    </row>
    <row r="214" spans="1:24" x14ac:dyDescent="0.3">
      <c r="A214" t="s">
        <v>1219</v>
      </c>
      <c r="B214" t="s">
        <v>903</v>
      </c>
      <c r="C214" t="s">
        <v>904</v>
      </c>
      <c r="D214" t="s">
        <v>22</v>
      </c>
      <c r="E214" t="s">
        <v>181</v>
      </c>
      <c r="F214" t="s">
        <v>66</v>
      </c>
      <c r="G214" t="s">
        <v>97</v>
      </c>
      <c r="H214">
        <v>4</v>
      </c>
      <c r="I214" t="s">
        <v>58</v>
      </c>
      <c r="J214" s="1">
        <v>45537</v>
      </c>
      <c r="K214" t="s">
        <v>1057</v>
      </c>
      <c r="L214" t="s">
        <v>1051</v>
      </c>
      <c r="M214">
        <v>8</v>
      </c>
      <c r="N214" t="s">
        <v>1063</v>
      </c>
      <c r="O214">
        <v>8</v>
      </c>
      <c r="P214">
        <v>0</v>
      </c>
      <c r="Q214">
        <v>-8</v>
      </c>
      <c r="R214">
        <v>10.71</v>
      </c>
      <c r="S214">
        <v>0</v>
      </c>
      <c r="T214">
        <v>11.51</v>
      </c>
      <c r="U214">
        <v>-92.08</v>
      </c>
      <c r="V214">
        <v>23933.82</v>
      </c>
      <c r="W214" s="1">
        <v>44506</v>
      </c>
      <c r="X214" t="s">
        <v>152</v>
      </c>
    </row>
    <row r="215" spans="1:24" x14ac:dyDescent="0.3">
      <c r="A215" t="s">
        <v>1221</v>
      </c>
      <c r="B215" t="s">
        <v>789</v>
      </c>
      <c r="C215" t="s">
        <v>790</v>
      </c>
      <c r="D215" t="s">
        <v>64</v>
      </c>
      <c r="E215" t="s">
        <v>555</v>
      </c>
      <c r="F215" t="s">
        <v>46</v>
      </c>
      <c r="G215" t="s">
        <v>37</v>
      </c>
      <c r="H215">
        <v>1</v>
      </c>
      <c r="I215" t="s">
        <v>29</v>
      </c>
      <c r="J215" s="1">
        <v>45540</v>
      </c>
      <c r="K215" t="s">
        <v>1057</v>
      </c>
      <c r="L215" t="s">
        <v>1051</v>
      </c>
      <c r="M215">
        <v>8</v>
      </c>
      <c r="N215" t="s">
        <v>1052</v>
      </c>
      <c r="O215">
        <v>8</v>
      </c>
      <c r="P215">
        <v>8.26</v>
      </c>
      <c r="Q215">
        <v>0.26</v>
      </c>
      <c r="R215">
        <v>19.600000000000001</v>
      </c>
      <c r="S215">
        <v>161.9</v>
      </c>
      <c r="T215">
        <v>13.46</v>
      </c>
      <c r="U215">
        <v>54.22</v>
      </c>
      <c r="V215">
        <v>28006.12</v>
      </c>
      <c r="W215" s="1">
        <v>45575</v>
      </c>
      <c r="X215" t="s">
        <v>25</v>
      </c>
    </row>
    <row r="216" spans="1:24" x14ac:dyDescent="0.3">
      <c r="A216" t="s">
        <v>1228</v>
      </c>
      <c r="B216" t="s">
        <v>861</v>
      </c>
      <c r="C216" t="s">
        <v>862</v>
      </c>
      <c r="D216" t="s">
        <v>118</v>
      </c>
      <c r="E216" t="s">
        <v>169</v>
      </c>
      <c r="F216" t="s">
        <v>23</v>
      </c>
      <c r="G216" t="s">
        <v>37</v>
      </c>
      <c r="H216">
        <v>4</v>
      </c>
      <c r="I216" t="s">
        <v>29</v>
      </c>
      <c r="J216" s="1">
        <v>45545</v>
      </c>
      <c r="K216" t="s">
        <v>1057</v>
      </c>
      <c r="L216" t="s">
        <v>1058</v>
      </c>
      <c r="M216">
        <v>6</v>
      </c>
      <c r="N216" t="s">
        <v>1052</v>
      </c>
      <c r="O216">
        <v>8</v>
      </c>
      <c r="P216">
        <v>7.94</v>
      </c>
      <c r="Q216">
        <v>-0.06</v>
      </c>
      <c r="R216">
        <v>11.73</v>
      </c>
      <c r="S216">
        <v>93.14</v>
      </c>
      <c r="T216">
        <v>14.03</v>
      </c>
      <c r="U216">
        <v>-19.100000000000001</v>
      </c>
      <c r="V216">
        <v>29179.37</v>
      </c>
      <c r="W216" s="1">
        <v>44562</v>
      </c>
      <c r="X216" t="s">
        <v>152</v>
      </c>
    </row>
    <row r="217" spans="1:24" x14ac:dyDescent="0.3">
      <c r="A217" t="s">
        <v>1253</v>
      </c>
      <c r="B217" t="s">
        <v>817</v>
      </c>
      <c r="C217" t="s">
        <v>818</v>
      </c>
      <c r="D217" t="s">
        <v>118</v>
      </c>
      <c r="E217" t="s">
        <v>119</v>
      </c>
      <c r="F217" t="s">
        <v>55</v>
      </c>
      <c r="G217" t="s">
        <v>37</v>
      </c>
      <c r="H217">
        <v>2</v>
      </c>
      <c r="I217" t="s">
        <v>29</v>
      </c>
      <c r="J217" s="1">
        <v>45495</v>
      </c>
      <c r="K217" t="s">
        <v>1065</v>
      </c>
      <c r="L217" t="s">
        <v>1066</v>
      </c>
      <c r="M217">
        <v>14</v>
      </c>
      <c r="N217" t="s">
        <v>1052</v>
      </c>
      <c r="O217">
        <v>8</v>
      </c>
      <c r="P217">
        <v>8.43</v>
      </c>
      <c r="Q217">
        <v>0.43</v>
      </c>
      <c r="R217">
        <v>12.01</v>
      </c>
      <c r="S217">
        <v>101.24</v>
      </c>
      <c r="T217">
        <v>25.42</v>
      </c>
      <c r="U217">
        <v>-102.12</v>
      </c>
      <c r="V217">
        <v>52870.36</v>
      </c>
      <c r="W217" s="1">
        <v>45291</v>
      </c>
      <c r="X217" t="s">
        <v>152</v>
      </c>
    </row>
    <row r="218" spans="1:24" x14ac:dyDescent="0.3">
      <c r="A218" t="s">
        <v>1237</v>
      </c>
      <c r="B218" t="s">
        <v>833</v>
      </c>
      <c r="C218" t="s">
        <v>834</v>
      </c>
      <c r="D218" t="s">
        <v>224</v>
      </c>
      <c r="E218" t="s">
        <v>313</v>
      </c>
      <c r="F218" t="s">
        <v>66</v>
      </c>
      <c r="G218" t="s">
        <v>47</v>
      </c>
      <c r="H218">
        <v>2</v>
      </c>
      <c r="I218" t="s">
        <v>29</v>
      </c>
      <c r="J218" s="1">
        <v>45596</v>
      </c>
      <c r="K218" t="s">
        <v>1050</v>
      </c>
      <c r="L218" t="s">
        <v>1058</v>
      </c>
      <c r="M218">
        <v>6</v>
      </c>
      <c r="N218" t="s">
        <v>1052</v>
      </c>
      <c r="O218">
        <v>8</v>
      </c>
      <c r="P218">
        <v>8.24</v>
      </c>
      <c r="Q218">
        <v>0.24</v>
      </c>
      <c r="R218">
        <v>21.57</v>
      </c>
      <c r="S218">
        <v>177.74</v>
      </c>
      <c r="T218">
        <v>25.54</v>
      </c>
      <c r="U218">
        <v>-26.58</v>
      </c>
      <c r="V218">
        <v>53115.27</v>
      </c>
      <c r="W218" s="1">
        <v>45286</v>
      </c>
      <c r="X218" t="s">
        <v>25</v>
      </c>
    </row>
    <row r="219" spans="1:24" x14ac:dyDescent="0.3">
      <c r="A219" t="s">
        <v>1239</v>
      </c>
      <c r="B219" t="s">
        <v>959</v>
      </c>
      <c r="C219" t="s">
        <v>960</v>
      </c>
      <c r="D219" t="s">
        <v>132</v>
      </c>
      <c r="E219" t="s">
        <v>212</v>
      </c>
      <c r="F219" t="s">
        <v>23</v>
      </c>
      <c r="G219" t="s">
        <v>24</v>
      </c>
      <c r="H219">
        <v>3</v>
      </c>
      <c r="I219" t="s">
        <v>29</v>
      </c>
      <c r="J219" s="1">
        <v>45575</v>
      </c>
      <c r="K219" t="s">
        <v>1050</v>
      </c>
      <c r="L219" t="s">
        <v>1051</v>
      </c>
      <c r="M219">
        <v>8</v>
      </c>
      <c r="N219" t="s">
        <v>1052</v>
      </c>
      <c r="O219">
        <v>8</v>
      </c>
      <c r="P219">
        <v>8.48</v>
      </c>
      <c r="Q219">
        <v>0.48</v>
      </c>
      <c r="R219">
        <v>16.13</v>
      </c>
      <c r="S219">
        <v>136.78</v>
      </c>
      <c r="T219">
        <v>15.36</v>
      </c>
      <c r="U219">
        <v>13.9</v>
      </c>
      <c r="V219">
        <v>31956.33</v>
      </c>
      <c r="W219" s="1">
        <v>44751</v>
      </c>
      <c r="X219" t="s">
        <v>25</v>
      </c>
    </row>
    <row r="220" spans="1:24" x14ac:dyDescent="0.3">
      <c r="A220" t="s">
        <v>1244</v>
      </c>
      <c r="B220" t="s">
        <v>939</v>
      </c>
      <c r="C220" t="s">
        <v>940</v>
      </c>
      <c r="D220" t="s">
        <v>224</v>
      </c>
      <c r="E220" t="s">
        <v>225</v>
      </c>
      <c r="F220" t="s">
        <v>55</v>
      </c>
      <c r="G220" t="s">
        <v>24</v>
      </c>
      <c r="H220">
        <v>3</v>
      </c>
      <c r="I220" t="s">
        <v>29</v>
      </c>
      <c r="J220" s="1">
        <v>45502</v>
      </c>
      <c r="K220" t="s">
        <v>1065</v>
      </c>
      <c r="L220" t="s">
        <v>1051</v>
      </c>
      <c r="M220">
        <v>8</v>
      </c>
      <c r="N220" t="s">
        <v>1052</v>
      </c>
      <c r="O220">
        <v>8</v>
      </c>
      <c r="P220">
        <v>8.2200000000000006</v>
      </c>
      <c r="Q220">
        <v>0.22</v>
      </c>
      <c r="R220">
        <v>17.829999999999998</v>
      </c>
      <c r="S220">
        <v>146.56</v>
      </c>
      <c r="T220">
        <v>18.489999999999998</v>
      </c>
      <c r="U220">
        <v>-1.36</v>
      </c>
      <c r="V220">
        <v>38469.370000000003</v>
      </c>
      <c r="W220" s="1">
        <v>44742</v>
      </c>
      <c r="X220" t="s">
        <v>25</v>
      </c>
    </row>
    <row r="221" spans="1:24" x14ac:dyDescent="0.3">
      <c r="A221" t="s">
        <v>1249</v>
      </c>
      <c r="B221" t="s">
        <v>970</v>
      </c>
      <c r="C221" t="s">
        <v>971</v>
      </c>
      <c r="D221" t="s">
        <v>118</v>
      </c>
      <c r="E221" t="s">
        <v>169</v>
      </c>
      <c r="F221" t="s">
        <v>55</v>
      </c>
      <c r="G221" t="s">
        <v>97</v>
      </c>
      <c r="H221">
        <v>2</v>
      </c>
      <c r="I221" t="s">
        <v>29</v>
      </c>
      <c r="J221" s="1">
        <v>45600</v>
      </c>
      <c r="K221" t="s">
        <v>1062</v>
      </c>
      <c r="L221" t="s">
        <v>1055</v>
      </c>
      <c r="M221">
        <v>22</v>
      </c>
      <c r="N221" t="s">
        <v>1052</v>
      </c>
      <c r="O221">
        <v>8</v>
      </c>
      <c r="P221">
        <v>7.83</v>
      </c>
      <c r="Q221">
        <v>-0.17</v>
      </c>
      <c r="R221">
        <v>14.65</v>
      </c>
      <c r="S221">
        <v>114.71</v>
      </c>
      <c r="T221">
        <v>24.63</v>
      </c>
      <c r="U221">
        <v>-82.33</v>
      </c>
      <c r="V221">
        <v>51236.42</v>
      </c>
      <c r="W221" s="1">
        <v>45234</v>
      </c>
      <c r="X221" t="s">
        <v>25</v>
      </c>
    </row>
    <row r="222" spans="1:24" x14ac:dyDescent="0.3">
      <c r="A222" t="s">
        <v>1257</v>
      </c>
      <c r="B222" t="s">
        <v>915</v>
      </c>
      <c r="C222" t="s">
        <v>916</v>
      </c>
      <c r="D222" t="s">
        <v>224</v>
      </c>
      <c r="E222" t="s">
        <v>313</v>
      </c>
      <c r="F222" t="s">
        <v>23</v>
      </c>
      <c r="G222" t="s">
        <v>24</v>
      </c>
      <c r="H222">
        <v>6</v>
      </c>
      <c r="I222" t="s">
        <v>58</v>
      </c>
      <c r="J222" s="1">
        <v>45603</v>
      </c>
      <c r="K222" t="s">
        <v>1062</v>
      </c>
      <c r="L222" t="s">
        <v>1051</v>
      </c>
      <c r="M222">
        <v>8</v>
      </c>
      <c r="N222" t="s">
        <v>1073</v>
      </c>
      <c r="O222">
        <v>8</v>
      </c>
      <c r="P222">
        <v>0</v>
      </c>
      <c r="Q222">
        <v>-8</v>
      </c>
      <c r="R222">
        <v>14.68</v>
      </c>
      <c r="S222">
        <v>0</v>
      </c>
      <c r="T222">
        <v>26.11</v>
      </c>
      <c r="U222">
        <v>-208.88</v>
      </c>
      <c r="V222">
        <v>54318.06</v>
      </c>
      <c r="W222" s="1">
        <v>43899</v>
      </c>
      <c r="X222" t="s">
        <v>25</v>
      </c>
    </row>
    <row r="223" spans="1:24" x14ac:dyDescent="0.3">
      <c r="A223" t="s">
        <v>1284</v>
      </c>
      <c r="B223" t="s">
        <v>1019</v>
      </c>
      <c r="C223" t="s">
        <v>1020</v>
      </c>
      <c r="D223" t="s">
        <v>132</v>
      </c>
      <c r="E223" t="s">
        <v>133</v>
      </c>
      <c r="F223" t="s">
        <v>23</v>
      </c>
      <c r="G223" t="s">
        <v>37</v>
      </c>
      <c r="H223">
        <v>5</v>
      </c>
      <c r="I223" t="s">
        <v>58</v>
      </c>
      <c r="J223" s="1">
        <v>45619</v>
      </c>
      <c r="K223" t="s">
        <v>1062</v>
      </c>
      <c r="L223" t="s">
        <v>1058</v>
      </c>
      <c r="M223">
        <v>6</v>
      </c>
      <c r="N223" t="s">
        <v>1063</v>
      </c>
      <c r="O223">
        <v>8</v>
      </c>
      <c r="P223">
        <v>0</v>
      </c>
      <c r="Q223">
        <v>-8</v>
      </c>
      <c r="R223">
        <v>12.67</v>
      </c>
      <c r="S223">
        <v>0</v>
      </c>
      <c r="T223">
        <v>23.08</v>
      </c>
      <c r="U223">
        <v>-184.64</v>
      </c>
      <c r="V223">
        <v>48013.39</v>
      </c>
      <c r="W223" s="1">
        <v>44153</v>
      </c>
      <c r="X223" t="s">
        <v>152</v>
      </c>
    </row>
    <row r="224" spans="1:24" x14ac:dyDescent="0.3">
      <c r="A224" t="s">
        <v>1287</v>
      </c>
      <c r="B224" t="s">
        <v>665</v>
      </c>
      <c r="C224" t="s">
        <v>666</v>
      </c>
      <c r="D224" t="s">
        <v>73</v>
      </c>
      <c r="E224" t="s">
        <v>87</v>
      </c>
      <c r="F224" t="s">
        <v>66</v>
      </c>
      <c r="G224" t="s">
        <v>97</v>
      </c>
      <c r="H224">
        <v>3</v>
      </c>
      <c r="I224" t="s">
        <v>58</v>
      </c>
      <c r="J224" s="1">
        <v>45567</v>
      </c>
      <c r="K224" t="s">
        <v>1050</v>
      </c>
      <c r="L224" t="s">
        <v>1066</v>
      </c>
      <c r="M224">
        <v>14</v>
      </c>
      <c r="N224" t="s">
        <v>1073</v>
      </c>
      <c r="O224">
        <v>8</v>
      </c>
      <c r="P224">
        <v>0</v>
      </c>
      <c r="Q224">
        <v>-8</v>
      </c>
      <c r="R224">
        <v>16.82</v>
      </c>
      <c r="S224">
        <v>0</v>
      </c>
      <c r="T224">
        <v>25.83</v>
      </c>
      <c r="U224">
        <v>-206.64</v>
      </c>
      <c r="V224">
        <v>53731.519999999997</v>
      </c>
      <c r="W224" s="1">
        <v>44747</v>
      </c>
      <c r="X224" t="s">
        <v>152</v>
      </c>
    </row>
    <row r="225" spans="1:24" x14ac:dyDescent="0.3">
      <c r="A225" t="s">
        <v>1288</v>
      </c>
      <c r="B225" t="s">
        <v>732</v>
      </c>
      <c r="C225" t="s">
        <v>733</v>
      </c>
      <c r="D225" t="s">
        <v>22</v>
      </c>
      <c r="E225" t="s">
        <v>181</v>
      </c>
      <c r="F225" t="s">
        <v>55</v>
      </c>
      <c r="G225" t="s">
        <v>24</v>
      </c>
      <c r="H225">
        <v>6</v>
      </c>
      <c r="I225" t="s">
        <v>29</v>
      </c>
      <c r="J225" s="1">
        <v>45527</v>
      </c>
      <c r="K225" t="s">
        <v>1054</v>
      </c>
      <c r="L225" t="s">
        <v>1058</v>
      </c>
      <c r="M225">
        <v>6</v>
      </c>
      <c r="N225" t="s">
        <v>1073</v>
      </c>
      <c r="O225">
        <v>8</v>
      </c>
      <c r="P225">
        <v>0</v>
      </c>
      <c r="Q225">
        <v>-8</v>
      </c>
      <c r="R225">
        <v>20.98</v>
      </c>
      <c r="S225">
        <v>0</v>
      </c>
      <c r="T225">
        <v>26.21</v>
      </c>
      <c r="U225">
        <v>-209.68</v>
      </c>
      <c r="V225">
        <v>54514.65</v>
      </c>
      <c r="W225" s="1">
        <v>43716</v>
      </c>
      <c r="X225" t="s">
        <v>1071</v>
      </c>
    </row>
    <row r="226" spans="1:24" x14ac:dyDescent="0.3">
      <c r="A226" t="s">
        <v>1289</v>
      </c>
      <c r="B226" t="s">
        <v>502</v>
      </c>
      <c r="C226" t="s">
        <v>503</v>
      </c>
      <c r="D226" t="s">
        <v>22</v>
      </c>
      <c r="E226" t="s">
        <v>181</v>
      </c>
      <c r="F226" t="s">
        <v>46</v>
      </c>
      <c r="G226" t="s">
        <v>24</v>
      </c>
      <c r="H226">
        <v>4</v>
      </c>
      <c r="I226" t="s">
        <v>29</v>
      </c>
      <c r="J226" s="1">
        <v>45589</v>
      </c>
      <c r="K226" t="s">
        <v>1050</v>
      </c>
      <c r="L226" t="s">
        <v>1055</v>
      </c>
      <c r="M226">
        <v>22</v>
      </c>
      <c r="N226" t="s">
        <v>1052</v>
      </c>
      <c r="O226">
        <v>8</v>
      </c>
      <c r="P226">
        <v>8.27</v>
      </c>
      <c r="Q226">
        <v>0.27</v>
      </c>
      <c r="R226">
        <v>19.850000000000001</v>
      </c>
      <c r="S226">
        <v>164.16</v>
      </c>
      <c r="T226">
        <v>13.11</v>
      </c>
      <c r="U226">
        <v>59.28</v>
      </c>
      <c r="V226">
        <v>27272.400000000001</v>
      </c>
      <c r="W226" s="1">
        <v>44328</v>
      </c>
      <c r="X226" t="s">
        <v>25</v>
      </c>
    </row>
    <row r="227" spans="1:24" x14ac:dyDescent="0.3">
      <c r="A227" t="s">
        <v>1290</v>
      </c>
      <c r="B227" t="s">
        <v>569</v>
      </c>
      <c r="C227" t="s">
        <v>570</v>
      </c>
      <c r="D227" t="s">
        <v>35</v>
      </c>
      <c r="E227" t="s">
        <v>45</v>
      </c>
      <c r="F227" t="s">
        <v>55</v>
      </c>
      <c r="G227" t="s">
        <v>97</v>
      </c>
      <c r="H227">
        <v>2</v>
      </c>
      <c r="I227" t="s">
        <v>58</v>
      </c>
      <c r="J227" s="1">
        <v>45553</v>
      </c>
      <c r="K227" t="s">
        <v>1057</v>
      </c>
      <c r="L227" t="s">
        <v>1051</v>
      </c>
      <c r="M227">
        <v>8</v>
      </c>
      <c r="N227" t="s">
        <v>1063</v>
      </c>
      <c r="O227">
        <v>8</v>
      </c>
      <c r="P227">
        <v>0</v>
      </c>
      <c r="Q227">
        <v>-8</v>
      </c>
      <c r="R227">
        <v>14.31</v>
      </c>
      <c r="S227">
        <v>0</v>
      </c>
      <c r="T227">
        <v>15.19</v>
      </c>
      <c r="U227">
        <v>-121.52</v>
      </c>
      <c r="V227">
        <v>31599.119999999999</v>
      </c>
      <c r="W227" s="1">
        <v>45176</v>
      </c>
      <c r="X227" t="s">
        <v>25</v>
      </c>
    </row>
    <row r="228" spans="1:24" x14ac:dyDescent="0.3">
      <c r="A228" t="s">
        <v>1291</v>
      </c>
      <c r="B228" t="s">
        <v>1023</v>
      </c>
      <c r="C228" t="s">
        <v>1024</v>
      </c>
      <c r="D228" t="s">
        <v>73</v>
      </c>
      <c r="E228" t="s">
        <v>87</v>
      </c>
      <c r="F228" t="s">
        <v>23</v>
      </c>
      <c r="G228" t="s">
        <v>24</v>
      </c>
      <c r="H228">
        <v>6</v>
      </c>
      <c r="I228" t="s">
        <v>29</v>
      </c>
      <c r="J228" s="1">
        <v>45552</v>
      </c>
      <c r="K228" t="s">
        <v>1057</v>
      </c>
      <c r="L228" t="s">
        <v>1058</v>
      </c>
      <c r="M228">
        <v>6</v>
      </c>
      <c r="N228" t="s">
        <v>1060</v>
      </c>
      <c r="O228">
        <v>8</v>
      </c>
      <c r="P228">
        <v>5.67</v>
      </c>
      <c r="Q228">
        <v>-2.33</v>
      </c>
      <c r="R228">
        <v>26.66</v>
      </c>
      <c r="S228">
        <v>151.16</v>
      </c>
      <c r="T228">
        <v>11.61</v>
      </c>
      <c r="U228">
        <v>58.28</v>
      </c>
      <c r="V228">
        <v>24154.63</v>
      </c>
      <c r="W228" s="1">
        <v>43739</v>
      </c>
      <c r="X228" t="s">
        <v>152</v>
      </c>
    </row>
    <row r="229" spans="1:24" x14ac:dyDescent="0.3">
      <c r="A229" t="s">
        <v>1292</v>
      </c>
      <c r="B229" t="s">
        <v>558</v>
      </c>
      <c r="C229" t="s">
        <v>559</v>
      </c>
      <c r="D229" t="s">
        <v>73</v>
      </c>
      <c r="E229" t="s">
        <v>74</v>
      </c>
      <c r="F229" t="s">
        <v>66</v>
      </c>
      <c r="G229" t="s">
        <v>47</v>
      </c>
      <c r="H229">
        <v>1</v>
      </c>
      <c r="I229" t="s">
        <v>58</v>
      </c>
      <c r="J229" s="1">
        <v>45545</v>
      </c>
      <c r="K229" t="s">
        <v>1057</v>
      </c>
      <c r="L229" t="s">
        <v>1066</v>
      </c>
      <c r="M229">
        <v>14</v>
      </c>
      <c r="N229" t="s">
        <v>1052</v>
      </c>
      <c r="O229">
        <v>8</v>
      </c>
      <c r="P229">
        <v>8.14</v>
      </c>
      <c r="Q229">
        <v>0.14000000000000001</v>
      </c>
      <c r="R229">
        <v>22.92</v>
      </c>
      <c r="S229">
        <v>186.57</v>
      </c>
      <c r="T229">
        <v>25.27</v>
      </c>
      <c r="U229">
        <v>-15.59</v>
      </c>
      <c r="V229">
        <v>52555.14</v>
      </c>
      <c r="W229" s="1">
        <v>45554</v>
      </c>
      <c r="X229" t="s">
        <v>25</v>
      </c>
    </row>
    <row r="230" spans="1:24" x14ac:dyDescent="0.3">
      <c r="A230" t="s">
        <v>1293</v>
      </c>
      <c r="B230" t="s">
        <v>915</v>
      </c>
      <c r="C230" t="s">
        <v>916</v>
      </c>
      <c r="D230" t="s">
        <v>224</v>
      </c>
      <c r="E230" t="s">
        <v>313</v>
      </c>
      <c r="F230" t="s">
        <v>23</v>
      </c>
      <c r="G230" t="s">
        <v>24</v>
      </c>
      <c r="H230">
        <v>6</v>
      </c>
      <c r="I230" t="s">
        <v>58</v>
      </c>
      <c r="J230" s="1">
        <v>45482</v>
      </c>
      <c r="K230" t="s">
        <v>1065</v>
      </c>
      <c r="L230" t="s">
        <v>1066</v>
      </c>
      <c r="M230">
        <v>14</v>
      </c>
      <c r="N230" t="s">
        <v>1073</v>
      </c>
      <c r="O230">
        <v>8</v>
      </c>
      <c r="P230">
        <v>0</v>
      </c>
      <c r="Q230">
        <v>-8</v>
      </c>
      <c r="R230">
        <v>14.17</v>
      </c>
      <c r="S230">
        <v>0</v>
      </c>
      <c r="T230">
        <v>26.11</v>
      </c>
      <c r="U230">
        <v>-208.88</v>
      </c>
      <c r="V230">
        <v>54318.06</v>
      </c>
      <c r="W230" s="1">
        <v>43899</v>
      </c>
      <c r="X230" t="s">
        <v>152</v>
      </c>
    </row>
    <row r="231" spans="1:24" x14ac:dyDescent="0.3">
      <c r="A231" t="s">
        <v>1294</v>
      </c>
      <c r="B231" t="s">
        <v>1011</v>
      </c>
      <c r="C231" t="s">
        <v>1012</v>
      </c>
      <c r="D231" t="s">
        <v>118</v>
      </c>
      <c r="E231" t="s">
        <v>169</v>
      </c>
      <c r="F231" t="s">
        <v>55</v>
      </c>
      <c r="G231" t="s">
        <v>24</v>
      </c>
      <c r="H231">
        <v>3</v>
      </c>
      <c r="I231" t="s">
        <v>58</v>
      </c>
      <c r="J231" s="1">
        <v>45639</v>
      </c>
      <c r="K231" t="s">
        <v>1069</v>
      </c>
      <c r="L231" t="s">
        <v>1058</v>
      </c>
      <c r="M231">
        <v>6</v>
      </c>
      <c r="N231" t="s">
        <v>1052</v>
      </c>
      <c r="O231">
        <v>8</v>
      </c>
      <c r="P231">
        <v>8.33</v>
      </c>
      <c r="Q231">
        <v>0.33</v>
      </c>
      <c r="R231">
        <v>13.94</v>
      </c>
      <c r="S231">
        <v>116.12</v>
      </c>
      <c r="T231">
        <v>26.1</v>
      </c>
      <c r="U231">
        <v>-92.68</v>
      </c>
      <c r="V231">
        <v>54281.82</v>
      </c>
      <c r="W231" s="1">
        <v>44965</v>
      </c>
      <c r="X231" t="s">
        <v>1071</v>
      </c>
    </row>
    <row r="232" spans="1:24" x14ac:dyDescent="0.3">
      <c r="A232" t="s">
        <v>1295</v>
      </c>
      <c r="B232" t="s">
        <v>673</v>
      </c>
      <c r="C232" t="s">
        <v>674</v>
      </c>
      <c r="D232" t="s">
        <v>64</v>
      </c>
      <c r="E232" t="s">
        <v>555</v>
      </c>
      <c r="F232" t="s">
        <v>55</v>
      </c>
      <c r="G232" t="s">
        <v>47</v>
      </c>
      <c r="H232">
        <v>5</v>
      </c>
      <c r="I232" t="s">
        <v>29</v>
      </c>
      <c r="J232" s="1">
        <v>45594</v>
      </c>
      <c r="K232" t="s">
        <v>1050</v>
      </c>
      <c r="L232" t="s">
        <v>1058</v>
      </c>
      <c r="M232">
        <v>6</v>
      </c>
      <c r="N232" t="s">
        <v>1052</v>
      </c>
      <c r="O232">
        <v>8</v>
      </c>
      <c r="P232">
        <v>7.8</v>
      </c>
      <c r="Q232">
        <v>-0.2</v>
      </c>
      <c r="R232">
        <v>24.19</v>
      </c>
      <c r="S232">
        <v>188.68</v>
      </c>
      <c r="T232">
        <v>25.2</v>
      </c>
      <c r="U232">
        <v>-12.92</v>
      </c>
      <c r="V232">
        <v>52407.13</v>
      </c>
      <c r="W232" s="1">
        <v>44112</v>
      </c>
      <c r="X232" t="s">
        <v>25</v>
      </c>
    </row>
    <row r="233" spans="1:24" x14ac:dyDescent="0.3">
      <c r="A233" t="s">
        <v>1296</v>
      </c>
      <c r="B233" t="s">
        <v>364</v>
      </c>
      <c r="C233" t="s">
        <v>365</v>
      </c>
      <c r="D233" t="s">
        <v>22</v>
      </c>
      <c r="E233" t="s">
        <v>181</v>
      </c>
      <c r="F233" t="s">
        <v>55</v>
      </c>
      <c r="G233" t="s">
        <v>97</v>
      </c>
      <c r="H233">
        <v>5</v>
      </c>
      <c r="I233" t="s">
        <v>58</v>
      </c>
      <c r="J233" s="1">
        <v>45487</v>
      </c>
      <c r="K233" t="s">
        <v>1065</v>
      </c>
      <c r="L233" t="s">
        <v>1066</v>
      </c>
      <c r="M233">
        <v>14</v>
      </c>
      <c r="N233" t="s">
        <v>1063</v>
      </c>
      <c r="O233">
        <v>8</v>
      </c>
      <c r="P233">
        <v>0</v>
      </c>
      <c r="Q233">
        <v>-8</v>
      </c>
      <c r="R233">
        <v>13.05</v>
      </c>
      <c r="S233">
        <v>0</v>
      </c>
      <c r="T233">
        <v>18.34</v>
      </c>
      <c r="U233">
        <v>-146.72</v>
      </c>
      <c r="V233">
        <v>38145.24</v>
      </c>
      <c r="W233" s="1">
        <v>44308</v>
      </c>
      <c r="X233" t="s">
        <v>152</v>
      </c>
    </row>
    <row r="234" spans="1:24" x14ac:dyDescent="0.3">
      <c r="A234" t="s">
        <v>1297</v>
      </c>
      <c r="B234" t="s">
        <v>540</v>
      </c>
      <c r="C234" t="s">
        <v>541</v>
      </c>
      <c r="D234" t="s">
        <v>22</v>
      </c>
      <c r="E234" t="s">
        <v>260</v>
      </c>
      <c r="F234" t="s">
        <v>46</v>
      </c>
      <c r="G234" t="s">
        <v>37</v>
      </c>
      <c r="H234">
        <v>3</v>
      </c>
      <c r="I234" t="s">
        <v>29</v>
      </c>
      <c r="J234" s="1">
        <v>45617</v>
      </c>
      <c r="K234" t="s">
        <v>1062</v>
      </c>
      <c r="L234" t="s">
        <v>1055</v>
      </c>
      <c r="M234">
        <v>22</v>
      </c>
      <c r="N234" t="s">
        <v>1052</v>
      </c>
      <c r="O234">
        <v>8</v>
      </c>
      <c r="P234">
        <v>8.1300000000000008</v>
      </c>
      <c r="Q234">
        <v>0.13</v>
      </c>
      <c r="R234">
        <v>19.34</v>
      </c>
      <c r="S234">
        <v>157.22999999999999</v>
      </c>
      <c r="T234">
        <v>18</v>
      </c>
      <c r="U234">
        <v>13.23</v>
      </c>
      <c r="V234">
        <v>37442.65</v>
      </c>
      <c r="W234" s="1">
        <v>44986</v>
      </c>
      <c r="X234" t="s">
        <v>25</v>
      </c>
    </row>
    <row r="235" spans="1:24" x14ac:dyDescent="0.3">
      <c r="A235" t="s">
        <v>1298</v>
      </c>
      <c r="B235" t="s">
        <v>991</v>
      </c>
      <c r="C235" t="s">
        <v>992</v>
      </c>
      <c r="D235" t="s">
        <v>118</v>
      </c>
      <c r="E235" t="s">
        <v>169</v>
      </c>
      <c r="F235" t="s">
        <v>46</v>
      </c>
      <c r="G235" t="s">
        <v>47</v>
      </c>
      <c r="H235">
        <v>2</v>
      </c>
      <c r="I235" t="s">
        <v>29</v>
      </c>
      <c r="J235" s="1">
        <v>45523</v>
      </c>
      <c r="K235" t="s">
        <v>1054</v>
      </c>
      <c r="L235" t="s">
        <v>1058</v>
      </c>
      <c r="M235">
        <v>6</v>
      </c>
      <c r="N235" t="s">
        <v>1073</v>
      </c>
      <c r="O235">
        <v>8</v>
      </c>
      <c r="P235">
        <v>0</v>
      </c>
      <c r="Q235">
        <v>-8</v>
      </c>
      <c r="R235">
        <v>13.51</v>
      </c>
      <c r="S235">
        <v>0</v>
      </c>
      <c r="T235">
        <v>20.6</v>
      </c>
      <c r="U235">
        <v>-164.8</v>
      </c>
      <c r="V235">
        <v>42837.94</v>
      </c>
      <c r="W235" s="1">
        <v>45148</v>
      </c>
      <c r="X235" t="s">
        <v>1071</v>
      </c>
    </row>
    <row r="236" spans="1:24" x14ac:dyDescent="0.3">
      <c r="A236" t="s">
        <v>1299</v>
      </c>
      <c r="B236" t="s">
        <v>376</v>
      </c>
      <c r="C236" t="s">
        <v>377</v>
      </c>
      <c r="D236" t="s">
        <v>73</v>
      </c>
      <c r="E236" t="s">
        <v>74</v>
      </c>
      <c r="F236" t="s">
        <v>66</v>
      </c>
      <c r="G236" t="s">
        <v>37</v>
      </c>
      <c r="H236">
        <v>2</v>
      </c>
      <c r="I236" t="s">
        <v>29</v>
      </c>
      <c r="J236" s="1">
        <v>45565</v>
      </c>
      <c r="K236" t="s">
        <v>1057</v>
      </c>
      <c r="L236" t="s">
        <v>1051</v>
      </c>
      <c r="M236">
        <v>8</v>
      </c>
      <c r="N236" t="s">
        <v>1052</v>
      </c>
      <c r="O236">
        <v>8</v>
      </c>
      <c r="P236">
        <v>8.19</v>
      </c>
      <c r="Q236">
        <v>0.19</v>
      </c>
      <c r="R236">
        <v>13.66</v>
      </c>
      <c r="S236">
        <v>111.88</v>
      </c>
      <c r="T236">
        <v>16.239999999999998</v>
      </c>
      <c r="U236">
        <v>-18.04</v>
      </c>
      <c r="V236">
        <v>33772.120000000003</v>
      </c>
      <c r="W236" s="1">
        <v>45407</v>
      </c>
      <c r="X236" t="s">
        <v>152</v>
      </c>
    </row>
    <row r="237" spans="1:24" x14ac:dyDescent="0.3">
      <c r="A237" t="s">
        <v>1300</v>
      </c>
      <c r="B237" t="s">
        <v>716</v>
      </c>
      <c r="C237" t="s">
        <v>717</v>
      </c>
      <c r="D237" t="s">
        <v>224</v>
      </c>
      <c r="E237" t="s">
        <v>313</v>
      </c>
      <c r="F237" t="s">
        <v>66</v>
      </c>
      <c r="G237" t="s">
        <v>97</v>
      </c>
      <c r="H237">
        <v>5</v>
      </c>
      <c r="I237" t="s">
        <v>29</v>
      </c>
      <c r="J237" s="1">
        <v>45554</v>
      </c>
      <c r="K237" t="s">
        <v>1057</v>
      </c>
      <c r="L237" t="s">
        <v>1066</v>
      </c>
      <c r="M237">
        <v>14</v>
      </c>
      <c r="N237" t="s">
        <v>1052</v>
      </c>
      <c r="O237">
        <v>8</v>
      </c>
      <c r="P237">
        <v>8.32</v>
      </c>
      <c r="Q237">
        <v>0.32</v>
      </c>
      <c r="R237">
        <v>18.649999999999999</v>
      </c>
      <c r="S237">
        <v>155.16999999999999</v>
      </c>
      <c r="T237">
        <v>21.57</v>
      </c>
      <c r="U237">
        <v>-17.39</v>
      </c>
      <c r="V237">
        <v>44861.57</v>
      </c>
      <c r="W237" s="1">
        <v>44082</v>
      </c>
      <c r="X237" t="s">
        <v>25</v>
      </c>
    </row>
    <row r="238" spans="1:24" x14ac:dyDescent="0.3">
      <c r="A238" t="s">
        <v>1301</v>
      </c>
      <c r="B238" t="s">
        <v>558</v>
      </c>
      <c r="C238" t="s">
        <v>559</v>
      </c>
      <c r="D238" t="s">
        <v>73</v>
      </c>
      <c r="E238" t="s">
        <v>74</v>
      </c>
      <c r="F238" t="s">
        <v>66</v>
      </c>
      <c r="G238" t="s">
        <v>47</v>
      </c>
      <c r="H238">
        <v>1</v>
      </c>
      <c r="I238" t="s">
        <v>58</v>
      </c>
      <c r="J238" s="1">
        <v>45516</v>
      </c>
      <c r="K238" t="s">
        <v>1054</v>
      </c>
      <c r="L238" t="s">
        <v>1055</v>
      </c>
      <c r="M238">
        <v>22</v>
      </c>
      <c r="N238" t="s">
        <v>1052</v>
      </c>
      <c r="O238">
        <v>8</v>
      </c>
      <c r="P238">
        <v>7.78</v>
      </c>
      <c r="Q238">
        <v>-0.22</v>
      </c>
      <c r="R238">
        <v>12.53</v>
      </c>
      <c r="S238">
        <v>97.48</v>
      </c>
      <c r="T238">
        <v>25.27</v>
      </c>
      <c r="U238">
        <v>-104.68</v>
      </c>
      <c r="V238">
        <v>52555.14</v>
      </c>
      <c r="W238" s="1">
        <v>45554</v>
      </c>
      <c r="X238" t="s">
        <v>152</v>
      </c>
    </row>
    <row r="239" spans="1:24" x14ac:dyDescent="0.3">
      <c r="A239" t="s">
        <v>1302</v>
      </c>
      <c r="B239" t="s">
        <v>498</v>
      </c>
      <c r="C239" t="s">
        <v>499</v>
      </c>
      <c r="D239" t="s">
        <v>132</v>
      </c>
      <c r="E239" t="s">
        <v>212</v>
      </c>
      <c r="F239" t="s">
        <v>46</v>
      </c>
      <c r="G239" t="s">
        <v>24</v>
      </c>
      <c r="H239">
        <v>5</v>
      </c>
      <c r="I239" t="s">
        <v>29</v>
      </c>
      <c r="J239" s="1">
        <v>45601</v>
      </c>
      <c r="K239" t="s">
        <v>1062</v>
      </c>
      <c r="L239" t="s">
        <v>1051</v>
      </c>
      <c r="M239">
        <v>8</v>
      </c>
      <c r="N239" t="s">
        <v>1052</v>
      </c>
      <c r="O239">
        <v>8</v>
      </c>
      <c r="P239">
        <v>8.06</v>
      </c>
      <c r="Q239">
        <v>0.06</v>
      </c>
      <c r="R239">
        <v>25.49</v>
      </c>
      <c r="S239">
        <v>205.45</v>
      </c>
      <c r="T239">
        <v>16.66</v>
      </c>
      <c r="U239">
        <v>72.17</v>
      </c>
      <c r="V239">
        <v>34649.06</v>
      </c>
      <c r="W239" s="1">
        <v>44236</v>
      </c>
      <c r="X239" t="s">
        <v>152</v>
      </c>
    </row>
    <row r="240" spans="1:24" x14ac:dyDescent="0.3">
      <c r="A240" t="s">
        <v>1303</v>
      </c>
      <c r="B240" t="s">
        <v>566</v>
      </c>
      <c r="C240" t="s">
        <v>567</v>
      </c>
      <c r="D240" t="s">
        <v>224</v>
      </c>
      <c r="E240" t="s">
        <v>225</v>
      </c>
      <c r="F240" t="s">
        <v>46</v>
      </c>
      <c r="G240" t="s">
        <v>47</v>
      </c>
      <c r="H240">
        <v>3</v>
      </c>
      <c r="I240" t="s">
        <v>58</v>
      </c>
      <c r="J240" s="1">
        <v>45655</v>
      </c>
      <c r="K240" t="s">
        <v>1069</v>
      </c>
      <c r="L240" t="s">
        <v>1066</v>
      </c>
      <c r="M240">
        <v>14</v>
      </c>
      <c r="N240" t="s">
        <v>1052</v>
      </c>
      <c r="O240">
        <v>8</v>
      </c>
      <c r="P240">
        <v>8.1199999999999992</v>
      </c>
      <c r="Q240">
        <v>0.12</v>
      </c>
      <c r="R240">
        <v>18.170000000000002</v>
      </c>
      <c r="S240">
        <v>147.54</v>
      </c>
      <c r="T240">
        <v>8.7799999999999994</v>
      </c>
      <c r="U240">
        <v>77.3</v>
      </c>
      <c r="V240">
        <v>18252.71</v>
      </c>
      <c r="W240" s="1">
        <v>44843</v>
      </c>
      <c r="X240" t="s">
        <v>25</v>
      </c>
    </row>
    <row r="241" spans="1:24" x14ac:dyDescent="0.3">
      <c r="A241" t="s">
        <v>1304</v>
      </c>
      <c r="B241" t="s">
        <v>600</v>
      </c>
      <c r="C241" t="s">
        <v>601</v>
      </c>
      <c r="D241" t="s">
        <v>35</v>
      </c>
      <c r="E241" t="s">
        <v>36</v>
      </c>
      <c r="F241" t="s">
        <v>46</v>
      </c>
      <c r="G241" t="s">
        <v>24</v>
      </c>
      <c r="H241">
        <v>6</v>
      </c>
      <c r="I241" t="s">
        <v>58</v>
      </c>
      <c r="J241" s="1">
        <v>45615</v>
      </c>
      <c r="K241" t="s">
        <v>1062</v>
      </c>
      <c r="L241" t="s">
        <v>1058</v>
      </c>
      <c r="M241">
        <v>6</v>
      </c>
      <c r="N241" t="s">
        <v>1052</v>
      </c>
      <c r="O241">
        <v>8</v>
      </c>
      <c r="P241">
        <v>8.02</v>
      </c>
      <c r="Q241">
        <v>0.02</v>
      </c>
      <c r="R241">
        <v>14</v>
      </c>
      <c r="S241">
        <v>112.28</v>
      </c>
      <c r="T241">
        <v>25.06</v>
      </c>
      <c r="U241">
        <v>-88.2</v>
      </c>
      <c r="V241">
        <v>52122.37</v>
      </c>
      <c r="W241" s="1">
        <v>43894</v>
      </c>
      <c r="X241" t="s">
        <v>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CBAA3-D286-483F-8C92-C2BEBDB895F6}">
  <sheetPr codeName="Hoja7">
    <tabColor rgb="FF1F4E79"/>
  </sheetPr>
  <dimension ref="A2:W169"/>
  <sheetViews>
    <sheetView workbookViewId="0"/>
  </sheetViews>
  <sheetFormatPr baseColWidth="10" defaultRowHeight="14.4" x14ac:dyDescent="0.3"/>
  <cols>
    <col min="1" max="1" width="16.21875" bestFit="1" customWidth="1"/>
    <col min="2" max="2" width="20.77734375" bestFit="1" customWidth="1"/>
    <col min="3" max="3" width="17.33203125" bestFit="1" customWidth="1"/>
    <col min="4" max="4" width="11" bestFit="1" customWidth="1"/>
    <col min="5" max="5" width="7.33203125" bestFit="1" customWidth="1"/>
    <col min="6" max="6" width="11.6640625" bestFit="1" customWidth="1"/>
    <col min="9" max="9" width="25.109375" bestFit="1" customWidth="1"/>
    <col min="10" max="10" width="15.44140625" bestFit="1" customWidth="1"/>
    <col min="11" max="11" width="11.5546875" bestFit="1" customWidth="1"/>
    <col min="12" max="12" width="9.77734375" bestFit="1" customWidth="1"/>
    <col min="18" max="18" width="25.44140625" bestFit="1" customWidth="1"/>
    <col min="19" max="19" width="20.77734375" bestFit="1" customWidth="1"/>
    <col min="20" max="20" width="6.33203125" bestFit="1" customWidth="1"/>
    <col min="21" max="21" width="6.88671875" bestFit="1" customWidth="1"/>
    <col min="22" max="22" width="5.6640625" bestFit="1" customWidth="1"/>
    <col min="23" max="23" width="11.6640625" bestFit="1" customWidth="1"/>
  </cols>
  <sheetData>
    <row r="2" spans="1:23" x14ac:dyDescent="0.3">
      <c r="A2" s="2" t="s">
        <v>1311</v>
      </c>
      <c r="B2" s="2" t="s">
        <v>1310</v>
      </c>
      <c r="I2" s="2" t="s">
        <v>1308</v>
      </c>
      <c r="J2" t="s">
        <v>1312</v>
      </c>
      <c r="K2" t="s">
        <v>1313</v>
      </c>
      <c r="L2" t="s">
        <v>1314</v>
      </c>
      <c r="R2" s="2" t="s">
        <v>1315</v>
      </c>
      <c r="S2" s="2" t="s">
        <v>1310</v>
      </c>
    </row>
    <row r="3" spans="1:23" x14ac:dyDescent="0.3">
      <c r="A3" s="2" t="s">
        <v>1308</v>
      </c>
      <c r="B3" t="s">
        <v>1063</v>
      </c>
      <c r="C3" t="s">
        <v>1073</v>
      </c>
      <c r="D3" t="s">
        <v>1052</v>
      </c>
      <c r="E3" t="s">
        <v>1060</v>
      </c>
      <c r="F3" t="s">
        <v>1309</v>
      </c>
      <c r="I3" s="3" t="s">
        <v>224</v>
      </c>
      <c r="J3" s="5">
        <v>168</v>
      </c>
      <c r="K3" s="5">
        <v>114.20000000000002</v>
      </c>
      <c r="L3" s="5">
        <v>-53.800000000000004</v>
      </c>
      <c r="R3" s="2" t="s">
        <v>1308</v>
      </c>
      <c r="S3" t="s">
        <v>1058</v>
      </c>
      <c r="T3" t="s">
        <v>1055</v>
      </c>
      <c r="U3" t="s">
        <v>1051</v>
      </c>
      <c r="V3" t="s">
        <v>1066</v>
      </c>
      <c r="W3" t="s">
        <v>1309</v>
      </c>
    </row>
    <row r="4" spans="1:23" x14ac:dyDescent="0.3">
      <c r="A4" s="3" t="s">
        <v>224</v>
      </c>
      <c r="B4" s="4">
        <v>3</v>
      </c>
      <c r="C4" s="4">
        <v>4</v>
      </c>
      <c r="D4" s="4">
        <v>14</v>
      </c>
      <c r="E4" s="4"/>
      <c r="F4" s="4">
        <v>21</v>
      </c>
      <c r="I4" s="3" t="s">
        <v>132</v>
      </c>
      <c r="J4" s="5">
        <v>160</v>
      </c>
      <c r="K4" s="5">
        <v>137.42999999999998</v>
      </c>
      <c r="L4" s="5">
        <v>-22.570000000000004</v>
      </c>
      <c r="R4" s="3" t="s">
        <v>66</v>
      </c>
      <c r="S4" s="6">
        <v>2391.88</v>
      </c>
      <c r="T4" s="6">
        <v>1339.92</v>
      </c>
      <c r="U4" s="6">
        <v>1395.4699999999998</v>
      </c>
      <c r="V4" s="6">
        <v>1166.5700000000002</v>
      </c>
      <c r="W4" s="6">
        <v>6293.84</v>
      </c>
    </row>
    <row r="5" spans="1:23" x14ac:dyDescent="0.3">
      <c r="A5" s="3" t="s">
        <v>132</v>
      </c>
      <c r="B5" s="4">
        <v>2</v>
      </c>
      <c r="C5" s="4"/>
      <c r="D5" s="4">
        <v>13</v>
      </c>
      <c r="E5" s="4">
        <v>5</v>
      </c>
      <c r="F5" s="4">
        <v>20</v>
      </c>
      <c r="I5" s="3" t="s">
        <v>118</v>
      </c>
      <c r="J5" s="5">
        <v>248</v>
      </c>
      <c r="K5" s="5">
        <v>193.65000000000003</v>
      </c>
      <c r="L5" s="5">
        <v>-54.35</v>
      </c>
      <c r="R5" s="3" t="s">
        <v>46</v>
      </c>
      <c r="S5" s="6">
        <v>1653.76</v>
      </c>
      <c r="T5" s="6">
        <v>2214.92</v>
      </c>
      <c r="U5" s="6">
        <v>1445.2900000000002</v>
      </c>
      <c r="V5" s="6">
        <v>2386.5500000000002</v>
      </c>
      <c r="W5" s="6">
        <v>7700.52</v>
      </c>
    </row>
    <row r="6" spans="1:23" x14ac:dyDescent="0.3">
      <c r="A6" s="3" t="s">
        <v>118</v>
      </c>
      <c r="B6" s="4">
        <v>5</v>
      </c>
      <c r="C6" s="4">
        <v>2</v>
      </c>
      <c r="D6" s="4">
        <v>24</v>
      </c>
      <c r="E6" s="4"/>
      <c r="F6" s="4">
        <v>31</v>
      </c>
      <c r="I6" s="3" t="s">
        <v>22</v>
      </c>
      <c r="J6" s="5">
        <v>280</v>
      </c>
      <c r="K6" s="5">
        <v>199.23999999999998</v>
      </c>
      <c r="L6" s="5">
        <v>-80.760000000000005</v>
      </c>
      <c r="R6" s="3" t="s">
        <v>55</v>
      </c>
      <c r="S6" s="6">
        <v>1431.7700000000002</v>
      </c>
      <c r="T6" s="6">
        <v>1865.4100000000003</v>
      </c>
      <c r="U6" s="6">
        <v>1467.9599999999998</v>
      </c>
      <c r="V6" s="6">
        <v>1682.05</v>
      </c>
      <c r="W6" s="6">
        <v>6447.1900000000005</v>
      </c>
    </row>
    <row r="7" spans="1:23" x14ac:dyDescent="0.3">
      <c r="A7" s="3" t="s">
        <v>22</v>
      </c>
      <c r="B7" s="4">
        <v>6</v>
      </c>
      <c r="C7" s="4">
        <v>4</v>
      </c>
      <c r="D7" s="4">
        <v>23</v>
      </c>
      <c r="E7" s="4">
        <v>2</v>
      </c>
      <c r="F7" s="4">
        <v>35</v>
      </c>
      <c r="I7" s="3" t="s">
        <v>64</v>
      </c>
      <c r="J7" s="5">
        <v>200</v>
      </c>
      <c r="K7" s="5">
        <v>144.89000000000001</v>
      </c>
      <c r="L7" s="5">
        <v>-55.110000000000007</v>
      </c>
      <c r="R7" s="3" t="s">
        <v>23</v>
      </c>
      <c r="S7" s="6">
        <v>1643.6000000000001</v>
      </c>
      <c r="T7" s="6">
        <v>1046.78</v>
      </c>
      <c r="U7" s="6">
        <v>1604.1200000000001</v>
      </c>
      <c r="V7" s="6">
        <v>1319.66</v>
      </c>
      <c r="W7" s="6">
        <v>5614.16</v>
      </c>
    </row>
    <row r="8" spans="1:23" x14ac:dyDescent="0.3">
      <c r="A8" s="3" t="s">
        <v>64</v>
      </c>
      <c r="B8" s="4">
        <v>5</v>
      </c>
      <c r="C8" s="4">
        <v>2</v>
      </c>
      <c r="D8" s="4">
        <v>17</v>
      </c>
      <c r="E8" s="4">
        <v>1</v>
      </c>
      <c r="F8" s="4">
        <v>25</v>
      </c>
      <c r="I8" s="3" t="s">
        <v>73</v>
      </c>
      <c r="J8" s="5">
        <v>320</v>
      </c>
      <c r="K8" s="5">
        <v>217.51000000000002</v>
      </c>
      <c r="L8" s="5">
        <v>-102.49</v>
      </c>
      <c r="R8" s="3" t="s">
        <v>1309</v>
      </c>
      <c r="S8" s="6">
        <v>7121.0100000000011</v>
      </c>
      <c r="T8" s="6">
        <v>6467.03</v>
      </c>
      <c r="U8" s="6">
        <v>5912.84</v>
      </c>
      <c r="V8" s="6">
        <v>6554.83</v>
      </c>
      <c r="W8" s="6">
        <v>26055.710000000003</v>
      </c>
    </row>
    <row r="9" spans="1:23" x14ac:dyDescent="0.3">
      <c r="A9" s="3" t="s">
        <v>73</v>
      </c>
      <c r="B9" s="4">
        <v>5</v>
      </c>
      <c r="C9" s="4">
        <v>7</v>
      </c>
      <c r="D9" s="4">
        <v>22</v>
      </c>
      <c r="E9" s="4">
        <v>6</v>
      </c>
      <c r="F9" s="4">
        <v>40</v>
      </c>
      <c r="I9" s="3" t="s">
        <v>95</v>
      </c>
      <c r="J9" s="5">
        <v>288</v>
      </c>
      <c r="K9" s="5">
        <v>215.54999999999995</v>
      </c>
      <c r="L9" s="5">
        <v>-72.449999999999974</v>
      </c>
    </row>
    <row r="10" spans="1:23" x14ac:dyDescent="0.3">
      <c r="A10" s="3" t="s">
        <v>95</v>
      </c>
      <c r="B10" s="4">
        <v>3</v>
      </c>
      <c r="C10" s="4">
        <v>5</v>
      </c>
      <c r="D10" s="4">
        <v>22</v>
      </c>
      <c r="E10" s="4">
        <v>6</v>
      </c>
      <c r="F10" s="4">
        <v>36</v>
      </c>
      <c r="I10" s="3" t="s">
        <v>35</v>
      </c>
      <c r="J10" s="5">
        <v>256</v>
      </c>
      <c r="K10" s="5">
        <v>159.77000000000001</v>
      </c>
      <c r="L10" s="5">
        <v>-96.22999999999999</v>
      </c>
    </row>
    <row r="11" spans="1:23" x14ac:dyDescent="0.3">
      <c r="A11" s="3" t="s">
        <v>35</v>
      </c>
      <c r="B11" s="4">
        <v>4</v>
      </c>
      <c r="C11" s="4">
        <v>8</v>
      </c>
      <c r="D11" s="4">
        <v>18</v>
      </c>
      <c r="E11" s="4">
        <v>2</v>
      </c>
      <c r="F11" s="4">
        <v>32</v>
      </c>
      <c r="I11" s="3" t="s">
        <v>1309</v>
      </c>
      <c r="J11" s="5">
        <v>1920</v>
      </c>
      <c r="K11" s="5">
        <v>1382.2399999999998</v>
      </c>
      <c r="L11" s="5">
        <v>-537.76</v>
      </c>
    </row>
    <row r="12" spans="1:23" x14ac:dyDescent="0.3">
      <c r="A12" s="3" t="s">
        <v>1309</v>
      </c>
      <c r="B12" s="4">
        <v>33</v>
      </c>
      <c r="C12" s="4">
        <v>32</v>
      </c>
      <c r="D12" s="4">
        <v>153</v>
      </c>
      <c r="E12" s="4">
        <v>22</v>
      </c>
      <c r="F12" s="4">
        <v>240</v>
      </c>
    </row>
    <row r="20" spans="1:10" x14ac:dyDescent="0.3">
      <c r="A20" s="2" t="s">
        <v>1316</v>
      </c>
      <c r="B20" s="2" t="s">
        <v>1310</v>
      </c>
      <c r="I20" s="2" t="s">
        <v>1308</v>
      </c>
      <c r="J20" t="s">
        <v>1317</v>
      </c>
    </row>
    <row r="21" spans="1:10" x14ac:dyDescent="0.3">
      <c r="A21" s="2" t="s">
        <v>1308</v>
      </c>
      <c r="B21" t="s">
        <v>1063</v>
      </c>
      <c r="C21" t="s">
        <v>1073</v>
      </c>
      <c r="D21" t="s">
        <v>1052</v>
      </c>
      <c r="E21" t="s">
        <v>1060</v>
      </c>
      <c r="F21" t="s">
        <v>1309</v>
      </c>
      <c r="I21" s="3" t="s">
        <v>782</v>
      </c>
      <c r="J21" s="5">
        <v>31.220000000000002</v>
      </c>
    </row>
    <row r="22" spans="1:10" x14ac:dyDescent="0.3">
      <c r="A22" s="3" t="s">
        <v>24</v>
      </c>
      <c r="B22" s="4">
        <v>5</v>
      </c>
      <c r="C22" s="4">
        <v>10</v>
      </c>
      <c r="D22" s="4">
        <v>35</v>
      </c>
      <c r="E22" s="4">
        <v>3</v>
      </c>
      <c r="F22" s="4">
        <v>53</v>
      </c>
      <c r="I22" s="3" t="s">
        <v>321</v>
      </c>
      <c r="J22" s="5">
        <v>25.03</v>
      </c>
    </row>
    <row r="23" spans="1:10" x14ac:dyDescent="0.3">
      <c r="A23" s="3" t="s">
        <v>37</v>
      </c>
      <c r="B23" s="4">
        <v>6</v>
      </c>
      <c r="C23" s="4">
        <v>8</v>
      </c>
      <c r="D23" s="4">
        <v>39</v>
      </c>
      <c r="E23" s="4">
        <v>7</v>
      </c>
      <c r="F23" s="4">
        <v>60</v>
      </c>
      <c r="I23" s="3" t="s">
        <v>355</v>
      </c>
      <c r="J23" s="5">
        <v>24.940000000000005</v>
      </c>
    </row>
    <row r="24" spans="1:10" x14ac:dyDescent="0.3">
      <c r="A24" s="3" t="s">
        <v>97</v>
      </c>
      <c r="B24" s="4">
        <v>9</v>
      </c>
      <c r="C24" s="4">
        <v>8</v>
      </c>
      <c r="D24" s="4">
        <v>33</v>
      </c>
      <c r="E24" s="4">
        <v>4</v>
      </c>
      <c r="F24" s="4">
        <v>54</v>
      </c>
      <c r="I24" s="3" t="s">
        <v>191</v>
      </c>
      <c r="J24" s="5">
        <v>24.910000000000004</v>
      </c>
    </row>
    <row r="25" spans="1:10" x14ac:dyDescent="0.3">
      <c r="A25" s="3" t="s">
        <v>47</v>
      </c>
      <c r="B25" s="4">
        <v>13</v>
      </c>
      <c r="C25" s="4">
        <v>6</v>
      </c>
      <c r="D25" s="4">
        <v>46</v>
      </c>
      <c r="E25" s="4">
        <v>8</v>
      </c>
      <c r="F25" s="4">
        <v>73</v>
      </c>
      <c r="I25" s="3" t="s">
        <v>753</v>
      </c>
      <c r="J25" s="5">
        <v>24.230000000000004</v>
      </c>
    </row>
    <row r="26" spans="1:10" x14ac:dyDescent="0.3">
      <c r="A26" s="3" t="s">
        <v>1309</v>
      </c>
      <c r="B26" s="4">
        <v>33</v>
      </c>
      <c r="C26" s="4">
        <v>32</v>
      </c>
      <c r="D26" s="4">
        <v>153</v>
      </c>
      <c r="E26" s="4">
        <v>22</v>
      </c>
      <c r="F26" s="4">
        <v>240</v>
      </c>
      <c r="I26" s="3" t="s">
        <v>499</v>
      </c>
      <c r="J26" s="5">
        <v>24.230000000000004</v>
      </c>
    </row>
    <row r="27" spans="1:10" x14ac:dyDescent="0.3">
      <c r="I27" s="3" t="s">
        <v>41</v>
      </c>
      <c r="J27" s="5">
        <v>23.61</v>
      </c>
    </row>
    <row r="28" spans="1:10" x14ac:dyDescent="0.3">
      <c r="I28" s="3" t="s">
        <v>428</v>
      </c>
      <c r="J28" s="5">
        <v>23.060000000000002</v>
      </c>
    </row>
    <row r="29" spans="1:10" x14ac:dyDescent="0.3">
      <c r="I29" s="3" t="s">
        <v>197</v>
      </c>
      <c r="J29" s="5">
        <v>16.93</v>
      </c>
    </row>
    <row r="30" spans="1:10" x14ac:dyDescent="0.3">
      <c r="I30" s="3" t="s">
        <v>597</v>
      </c>
      <c r="J30" s="5">
        <v>16.810000000000002</v>
      </c>
    </row>
    <row r="31" spans="1:10" x14ac:dyDescent="0.3">
      <c r="I31" s="3" t="s">
        <v>143</v>
      </c>
      <c r="J31" s="5">
        <v>16.66</v>
      </c>
    </row>
    <row r="32" spans="1:10" x14ac:dyDescent="0.3">
      <c r="I32" s="3" t="s">
        <v>694</v>
      </c>
      <c r="J32" s="5">
        <v>16.64</v>
      </c>
    </row>
    <row r="33" spans="9:10" x14ac:dyDescent="0.3">
      <c r="I33" s="3" t="s">
        <v>900</v>
      </c>
      <c r="J33" s="5">
        <v>16.560000000000002</v>
      </c>
    </row>
    <row r="34" spans="9:10" x14ac:dyDescent="0.3">
      <c r="I34" s="3" t="s">
        <v>984</v>
      </c>
      <c r="J34" s="5">
        <v>16.53</v>
      </c>
    </row>
    <row r="35" spans="9:10" x14ac:dyDescent="0.3">
      <c r="I35" s="3" t="s">
        <v>956</v>
      </c>
      <c r="J35" s="5">
        <v>16.510000000000002</v>
      </c>
    </row>
    <row r="36" spans="9:10" x14ac:dyDescent="0.3">
      <c r="I36" s="3" t="s">
        <v>503</v>
      </c>
      <c r="J36" s="5">
        <v>16.5</v>
      </c>
    </row>
    <row r="37" spans="9:10" x14ac:dyDescent="0.3">
      <c r="I37" s="3" t="s">
        <v>381</v>
      </c>
      <c r="J37" s="5">
        <v>16.369999999999997</v>
      </c>
    </row>
    <row r="38" spans="9:10" x14ac:dyDescent="0.3">
      <c r="I38" s="3" t="s">
        <v>769</v>
      </c>
      <c r="J38" s="5">
        <v>16.369999999999997</v>
      </c>
    </row>
    <row r="39" spans="9:10" x14ac:dyDescent="0.3">
      <c r="I39" s="3" t="s">
        <v>878</v>
      </c>
      <c r="J39" s="5">
        <v>16.18</v>
      </c>
    </row>
    <row r="40" spans="9:10" x14ac:dyDescent="0.3">
      <c r="I40" s="3" t="s">
        <v>472</v>
      </c>
      <c r="J40" s="5">
        <v>16.14</v>
      </c>
    </row>
    <row r="41" spans="9:10" x14ac:dyDescent="0.3">
      <c r="I41" s="3" t="s">
        <v>340</v>
      </c>
      <c r="J41" s="5">
        <v>16.11</v>
      </c>
    </row>
    <row r="42" spans="9:10" x14ac:dyDescent="0.3">
      <c r="I42" s="3" t="s">
        <v>251</v>
      </c>
      <c r="J42" s="5">
        <v>16.100000000000001</v>
      </c>
    </row>
    <row r="43" spans="9:10" x14ac:dyDescent="0.3">
      <c r="I43" s="3" t="s">
        <v>18</v>
      </c>
      <c r="J43" s="5">
        <v>16.09</v>
      </c>
    </row>
    <row r="44" spans="9:10" x14ac:dyDescent="0.3">
      <c r="I44" s="3" t="s">
        <v>275</v>
      </c>
      <c r="J44" s="5">
        <v>16.05</v>
      </c>
    </row>
    <row r="45" spans="9:10" x14ac:dyDescent="0.3">
      <c r="I45" s="3" t="s">
        <v>541</v>
      </c>
      <c r="J45" s="5">
        <v>16.010000000000002</v>
      </c>
    </row>
    <row r="46" spans="9:10" x14ac:dyDescent="0.3">
      <c r="I46" s="3" t="s">
        <v>559</v>
      </c>
      <c r="J46" s="5">
        <v>15.920000000000002</v>
      </c>
    </row>
    <row r="47" spans="9:10" x14ac:dyDescent="0.3">
      <c r="I47" s="3" t="s">
        <v>512</v>
      </c>
      <c r="J47" s="5">
        <v>15.91</v>
      </c>
    </row>
    <row r="48" spans="9:10" x14ac:dyDescent="0.3">
      <c r="I48" s="3" t="s">
        <v>385</v>
      </c>
      <c r="J48" s="5">
        <v>15.89</v>
      </c>
    </row>
    <row r="49" spans="9:10" x14ac:dyDescent="0.3">
      <c r="I49" s="3" t="s">
        <v>123</v>
      </c>
      <c r="J49" s="5">
        <v>15.86</v>
      </c>
    </row>
    <row r="50" spans="9:10" x14ac:dyDescent="0.3">
      <c r="I50" s="3" t="s">
        <v>1008</v>
      </c>
      <c r="J50" s="5">
        <v>15.850000000000001</v>
      </c>
    </row>
    <row r="51" spans="9:10" x14ac:dyDescent="0.3">
      <c r="I51" s="3" t="s">
        <v>298</v>
      </c>
      <c r="J51" s="5">
        <v>15.829999999999998</v>
      </c>
    </row>
    <row r="52" spans="9:10" x14ac:dyDescent="0.3">
      <c r="I52" s="3" t="s">
        <v>1016</v>
      </c>
      <c r="J52" s="5">
        <v>15.809999999999999</v>
      </c>
    </row>
    <row r="53" spans="9:10" x14ac:dyDescent="0.3">
      <c r="I53" s="3" t="s">
        <v>410</v>
      </c>
      <c r="J53" s="5">
        <v>15.69</v>
      </c>
    </row>
    <row r="54" spans="9:10" x14ac:dyDescent="0.3">
      <c r="I54" s="3" t="s">
        <v>204</v>
      </c>
      <c r="J54" s="5">
        <v>15.23</v>
      </c>
    </row>
    <row r="55" spans="9:10" x14ac:dyDescent="0.3">
      <c r="I55" s="3" t="s">
        <v>240</v>
      </c>
      <c r="J55" s="5">
        <v>15.120000000000001</v>
      </c>
    </row>
    <row r="56" spans="9:10" x14ac:dyDescent="0.3">
      <c r="I56" s="3" t="s">
        <v>331</v>
      </c>
      <c r="J56" s="5">
        <v>14.669999999999998</v>
      </c>
    </row>
    <row r="57" spans="9:10" x14ac:dyDescent="0.3">
      <c r="I57" s="3" t="s">
        <v>570</v>
      </c>
      <c r="J57" s="5">
        <v>14.45</v>
      </c>
    </row>
    <row r="58" spans="9:10" x14ac:dyDescent="0.3">
      <c r="I58" s="3" t="s">
        <v>980</v>
      </c>
      <c r="J58" s="5">
        <v>14.3</v>
      </c>
    </row>
    <row r="59" spans="9:10" x14ac:dyDescent="0.3">
      <c r="I59" s="3" t="s">
        <v>678</v>
      </c>
      <c r="J59" s="5">
        <v>14.059999999999999</v>
      </c>
    </row>
    <row r="60" spans="9:10" x14ac:dyDescent="0.3">
      <c r="I60" s="3" t="s">
        <v>1032</v>
      </c>
      <c r="J60" s="5">
        <v>12.129999999999999</v>
      </c>
    </row>
    <row r="61" spans="9:10" x14ac:dyDescent="0.3">
      <c r="I61" s="3" t="s">
        <v>662</v>
      </c>
      <c r="J61" s="5">
        <v>11.65</v>
      </c>
    </row>
    <row r="62" spans="9:10" x14ac:dyDescent="0.3">
      <c r="I62" s="3" t="s">
        <v>516</v>
      </c>
      <c r="J62" s="5">
        <v>8.49</v>
      </c>
    </row>
    <row r="63" spans="9:10" x14ac:dyDescent="0.3">
      <c r="I63" s="3" t="s">
        <v>960</v>
      </c>
      <c r="J63" s="5">
        <v>8.48</v>
      </c>
    </row>
    <row r="64" spans="9:10" x14ac:dyDescent="0.3">
      <c r="I64" s="3" t="s">
        <v>702</v>
      </c>
      <c r="J64" s="5">
        <v>8.4600000000000009</v>
      </c>
    </row>
    <row r="65" spans="9:10" x14ac:dyDescent="0.3">
      <c r="I65" s="3" t="s">
        <v>476</v>
      </c>
      <c r="J65" s="5">
        <v>8.4600000000000009</v>
      </c>
    </row>
    <row r="66" spans="9:10" x14ac:dyDescent="0.3">
      <c r="I66" s="3" t="s">
        <v>633</v>
      </c>
      <c r="J66" s="5">
        <v>8.44</v>
      </c>
    </row>
    <row r="67" spans="9:10" x14ac:dyDescent="0.3">
      <c r="I67" s="3" t="s">
        <v>745</v>
      </c>
      <c r="J67" s="5">
        <v>8.43</v>
      </c>
    </row>
    <row r="68" spans="9:10" x14ac:dyDescent="0.3">
      <c r="I68" s="3" t="s">
        <v>818</v>
      </c>
      <c r="J68" s="5">
        <v>8.43</v>
      </c>
    </row>
    <row r="69" spans="9:10" x14ac:dyDescent="0.3">
      <c r="I69" s="3" t="s">
        <v>166</v>
      </c>
      <c r="J69" s="5">
        <v>8.41</v>
      </c>
    </row>
    <row r="70" spans="9:10" x14ac:dyDescent="0.3">
      <c r="I70" s="3" t="s">
        <v>996</v>
      </c>
      <c r="J70" s="5">
        <v>8.35</v>
      </c>
    </row>
    <row r="71" spans="9:10" x14ac:dyDescent="0.3">
      <c r="I71" s="3" t="s">
        <v>246</v>
      </c>
      <c r="J71" s="5">
        <v>8.35</v>
      </c>
    </row>
    <row r="72" spans="9:10" x14ac:dyDescent="0.3">
      <c r="I72" s="3" t="s">
        <v>418</v>
      </c>
      <c r="J72" s="5">
        <v>8.34</v>
      </c>
    </row>
    <row r="73" spans="9:10" x14ac:dyDescent="0.3">
      <c r="I73" s="3" t="s">
        <v>1012</v>
      </c>
      <c r="J73" s="5">
        <v>8.33</v>
      </c>
    </row>
    <row r="74" spans="9:10" x14ac:dyDescent="0.3">
      <c r="I74" s="3" t="s">
        <v>91</v>
      </c>
      <c r="J74" s="5">
        <v>8.33</v>
      </c>
    </row>
    <row r="75" spans="9:10" x14ac:dyDescent="0.3">
      <c r="I75" s="3" t="s">
        <v>717</v>
      </c>
      <c r="J75" s="5">
        <v>8.32</v>
      </c>
    </row>
    <row r="76" spans="9:10" x14ac:dyDescent="0.3">
      <c r="I76" s="3" t="s">
        <v>721</v>
      </c>
      <c r="J76" s="5">
        <v>8.31</v>
      </c>
    </row>
    <row r="77" spans="9:10" x14ac:dyDescent="0.3">
      <c r="I77" s="3" t="s">
        <v>468</v>
      </c>
      <c r="J77" s="5">
        <v>8.2799999999999994</v>
      </c>
    </row>
    <row r="78" spans="9:10" x14ac:dyDescent="0.3">
      <c r="I78" s="3" t="s">
        <v>481</v>
      </c>
      <c r="J78" s="5">
        <v>8.27</v>
      </c>
    </row>
    <row r="79" spans="9:10" x14ac:dyDescent="0.3">
      <c r="I79" s="3" t="s">
        <v>773</v>
      </c>
      <c r="J79" s="5">
        <v>8.27</v>
      </c>
    </row>
    <row r="80" spans="9:10" x14ac:dyDescent="0.3">
      <c r="I80" s="3" t="s">
        <v>624</v>
      </c>
      <c r="J80" s="5">
        <v>8.27</v>
      </c>
    </row>
    <row r="81" spans="9:10" x14ac:dyDescent="0.3">
      <c r="I81" s="3" t="s">
        <v>311</v>
      </c>
      <c r="J81" s="5">
        <v>8.27</v>
      </c>
    </row>
    <row r="82" spans="9:10" x14ac:dyDescent="0.3">
      <c r="I82" s="3" t="s">
        <v>397</v>
      </c>
      <c r="J82" s="5">
        <v>8.27</v>
      </c>
    </row>
    <row r="83" spans="9:10" x14ac:dyDescent="0.3">
      <c r="I83" s="3" t="s">
        <v>234</v>
      </c>
      <c r="J83" s="5">
        <v>8.27</v>
      </c>
    </row>
    <row r="84" spans="9:10" x14ac:dyDescent="0.3">
      <c r="I84" s="3" t="s">
        <v>790</v>
      </c>
      <c r="J84" s="5">
        <v>8.26</v>
      </c>
    </row>
    <row r="85" spans="9:10" x14ac:dyDescent="0.3">
      <c r="I85" s="3" t="s">
        <v>834</v>
      </c>
      <c r="J85" s="5">
        <v>8.24</v>
      </c>
    </row>
    <row r="86" spans="9:10" x14ac:dyDescent="0.3">
      <c r="I86" s="3" t="s">
        <v>60</v>
      </c>
      <c r="J86" s="5">
        <v>8.23</v>
      </c>
    </row>
    <row r="87" spans="9:10" x14ac:dyDescent="0.3">
      <c r="I87" s="3" t="s">
        <v>940</v>
      </c>
      <c r="J87" s="5">
        <v>8.2200000000000006</v>
      </c>
    </row>
    <row r="88" spans="9:10" x14ac:dyDescent="0.3">
      <c r="I88" s="3" t="s">
        <v>709</v>
      </c>
      <c r="J88" s="5">
        <v>8.2100000000000009</v>
      </c>
    </row>
    <row r="89" spans="9:10" x14ac:dyDescent="0.3">
      <c r="I89" s="3" t="s">
        <v>377</v>
      </c>
      <c r="J89" s="5">
        <v>8.19</v>
      </c>
    </row>
    <row r="90" spans="9:10" x14ac:dyDescent="0.3">
      <c r="I90" s="3" t="s">
        <v>101</v>
      </c>
      <c r="J90" s="5">
        <v>8.18</v>
      </c>
    </row>
    <row r="91" spans="9:10" x14ac:dyDescent="0.3">
      <c r="I91" s="3" t="s">
        <v>529</v>
      </c>
      <c r="J91" s="5">
        <v>8.18</v>
      </c>
    </row>
    <row r="92" spans="9:10" x14ac:dyDescent="0.3">
      <c r="I92" s="3" t="s">
        <v>70</v>
      </c>
      <c r="J92" s="5">
        <v>8.17</v>
      </c>
    </row>
    <row r="93" spans="9:10" x14ac:dyDescent="0.3">
      <c r="I93" s="3" t="s">
        <v>838</v>
      </c>
      <c r="J93" s="5">
        <v>8.17</v>
      </c>
    </row>
    <row r="94" spans="9:10" x14ac:dyDescent="0.3">
      <c r="I94" s="3" t="s">
        <v>507</v>
      </c>
      <c r="J94" s="5">
        <v>8.16</v>
      </c>
    </row>
    <row r="95" spans="9:10" x14ac:dyDescent="0.3">
      <c r="I95" s="3" t="s">
        <v>690</v>
      </c>
      <c r="J95" s="5">
        <v>8.15</v>
      </c>
    </row>
    <row r="96" spans="9:10" x14ac:dyDescent="0.3">
      <c r="I96" s="3" t="s">
        <v>666</v>
      </c>
      <c r="J96" s="5">
        <v>8.14</v>
      </c>
    </row>
    <row r="97" spans="9:10" x14ac:dyDescent="0.3">
      <c r="I97" s="3" t="s">
        <v>806</v>
      </c>
      <c r="J97" s="5">
        <v>8.1199999999999992</v>
      </c>
    </row>
    <row r="98" spans="9:10" x14ac:dyDescent="0.3">
      <c r="I98" s="3" t="s">
        <v>567</v>
      </c>
      <c r="J98" s="5">
        <v>8.1199999999999992</v>
      </c>
    </row>
    <row r="99" spans="9:10" x14ac:dyDescent="0.3">
      <c r="I99" s="3" t="s">
        <v>641</v>
      </c>
      <c r="J99" s="5">
        <v>8.1199999999999992</v>
      </c>
    </row>
    <row r="100" spans="9:10" x14ac:dyDescent="0.3">
      <c r="I100" s="3" t="s">
        <v>604</v>
      </c>
      <c r="J100" s="5">
        <v>8.1</v>
      </c>
    </row>
    <row r="101" spans="9:10" x14ac:dyDescent="0.3">
      <c r="I101" s="3" t="s">
        <v>870</v>
      </c>
      <c r="J101" s="5">
        <v>8.1</v>
      </c>
    </row>
    <row r="102" spans="9:10" x14ac:dyDescent="0.3">
      <c r="I102" s="3" t="s">
        <v>928</v>
      </c>
      <c r="J102" s="5">
        <v>8.09</v>
      </c>
    </row>
    <row r="103" spans="9:10" x14ac:dyDescent="0.3">
      <c r="I103" s="3" t="s">
        <v>563</v>
      </c>
      <c r="J103" s="5">
        <v>8.09</v>
      </c>
    </row>
    <row r="104" spans="9:10" x14ac:dyDescent="0.3">
      <c r="I104" s="3" t="s">
        <v>944</v>
      </c>
      <c r="J104" s="5">
        <v>8.07</v>
      </c>
    </row>
    <row r="105" spans="9:10" x14ac:dyDescent="0.3">
      <c r="I105" s="3" t="s">
        <v>281</v>
      </c>
      <c r="J105" s="5">
        <v>8.0500000000000007</v>
      </c>
    </row>
    <row r="106" spans="9:10" x14ac:dyDescent="0.3">
      <c r="I106" s="3" t="s">
        <v>160</v>
      </c>
      <c r="J106" s="5">
        <v>8.0399999999999991</v>
      </c>
    </row>
    <row r="107" spans="9:10" x14ac:dyDescent="0.3">
      <c r="I107" s="3" t="s">
        <v>137</v>
      </c>
      <c r="J107" s="5">
        <v>8.0399999999999991</v>
      </c>
    </row>
    <row r="108" spans="9:10" x14ac:dyDescent="0.3">
      <c r="I108" s="3" t="s">
        <v>713</v>
      </c>
      <c r="J108" s="5">
        <v>8.0399999999999991</v>
      </c>
    </row>
    <row r="109" spans="9:10" x14ac:dyDescent="0.3">
      <c r="I109" s="3" t="s">
        <v>593</v>
      </c>
      <c r="J109" s="5">
        <v>8.0399999999999991</v>
      </c>
    </row>
    <row r="110" spans="9:10" x14ac:dyDescent="0.3">
      <c r="I110" s="3" t="s">
        <v>179</v>
      </c>
      <c r="J110" s="5">
        <v>8.02</v>
      </c>
    </row>
    <row r="111" spans="9:10" x14ac:dyDescent="0.3">
      <c r="I111" s="3" t="s">
        <v>601</v>
      </c>
      <c r="J111" s="5">
        <v>8.02</v>
      </c>
    </row>
    <row r="112" spans="9:10" x14ac:dyDescent="0.3">
      <c r="I112" s="3" t="s">
        <v>725</v>
      </c>
      <c r="J112" s="5">
        <v>8.01</v>
      </c>
    </row>
    <row r="113" spans="9:10" x14ac:dyDescent="0.3">
      <c r="I113" s="3" t="s">
        <v>520</v>
      </c>
      <c r="J113" s="5">
        <v>7.97</v>
      </c>
    </row>
    <row r="114" spans="9:10" x14ac:dyDescent="0.3">
      <c r="I114" s="3" t="s">
        <v>451</v>
      </c>
      <c r="J114" s="5">
        <v>7.97</v>
      </c>
    </row>
    <row r="115" spans="9:10" x14ac:dyDescent="0.3">
      <c r="I115" s="3" t="s">
        <v>1000</v>
      </c>
      <c r="J115" s="5">
        <v>7.95</v>
      </c>
    </row>
    <row r="116" spans="9:10" x14ac:dyDescent="0.3">
      <c r="I116" s="3" t="s">
        <v>862</v>
      </c>
      <c r="J116" s="5">
        <v>7.94</v>
      </c>
    </row>
    <row r="117" spans="9:10" x14ac:dyDescent="0.3">
      <c r="I117" s="3" t="s">
        <v>706</v>
      </c>
      <c r="J117" s="5">
        <v>7.94</v>
      </c>
    </row>
    <row r="118" spans="9:10" x14ac:dyDescent="0.3">
      <c r="I118" s="3" t="s">
        <v>369</v>
      </c>
      <c r="J118" s="5">
        <v>7.94</v>
      </c>
    </row>
    <row r="119" spans="9:10" x14ac:dyDescent="0.3">
      <c r="I119" s="3" t="s">
        <v>936</v>
      </c>
      <c r="J119" s="5">
        <v>7.94</v>
      </c>
    </row>
    <row r="120" spans="9:10" x14ac:dyDescent="0.3">
      <c r="I120" s="3" t="s">
        <v>912</v>
      </c>
      <c r="J120" s="5">
        <v>7.91</v>
      </c>
    </row>
    <row r="121" spans="9:10" x14ac:dyDescent="0.3">
      <c r="I121" s="3" t="s">
        <v>765</v>
      </c>
      <c r="J121" s="5">
        <v>7.9</v>
      </c>
    </row>
    <row r="122" spans="9:10" x14ac:dyDescent="0.3">
      <c r="I122" s="3" t="s">
        <v>786</v>
      </c>
      <c r="J122" s="5">
        <v>7.87</v>
      </c>
    </row>
    <row r="123" spans="9:10" x14ac:dyDescent="0.3">
      <c r="I123" s="3" t="s">
        <v>525</v>
      </c>
      <c r="J123" s="5">
        <v>7.87</v>
      </c>
    </row>
    <row r="124" spans="9:10" x14ac:dyDescent="0.3">
      <c r="I124" s="3" t="s">
        <v>814</v>
      </c>
      <c r="J124" s="5">
        <v>7.87</v>
      </c>
    </row>
    <row r="125" spans="9:10" x14ac:dyDescent="0.3">
      <c r="I125" s="3" t="s">
        <v>646</v>
      </c>
      <c r="J125" s="5">
        <v>7.85</v>
      </c>
    </row>
    <row r="126" spans="9:10" x14ac:dyDescent="0.3">
      <c r="I126" s="3" t="s">
        <v>777</v>
      </c>
      <c r="J126" s="5">
        <v>7.84</v>
      </c>
    </row>
    <row r="127" spans="9:10" x14ac:dyDescent="0.3">
      <c r="I127" s="3" t="s">
        <v>438</v>
      </c>
      <c r="J127" s="5">
        <v>7.84</v>
      </c>
    </row>
    <row r="128" spans="9:10" x14ac:dyDescent="0.3">
      <c r="I128" s="3" t="s">
        <v>307</v>
      </c>
      <c r="J128" s="5">
        <v>7.84</v>
      </c>
    </row>
    <row r="129" spans="9:10" x14ac:dyDescent="0.3">
      <c r="I129" s="3" t="s">
        <v>802</v>
      </c>
      <c r="J129" s="5">
        <v>7.84</v>
      </c>
    </row>
    <row r="130" spans="9:10" x14ac:dyDescent="0.3">
      <c r="I130" s="3" t="s">
        <v>971</v>
      </c>
      <c r="J130" s="5">
        <v>7.83</v>
      </c>
    </row>
    <row r="131" spans="9:10" x14ac:dyDescent="0.3">
      <c r="I131" s="3" t="s">
        <v>729</v>
      </c>
      <c r="J131" s="5">
        <v>7.81</v>
      </c>
    </row>
    <row r="132" spans="9:10" x14ac:dyDescent="0.3">
      <c r="I132" s="3" t="s">
        <v>616</v>
      </c>
      <c r="J132" s="5">
        <v>7.81</v>
      </c>
    </row>
    <row r="133" spans="9:10" x14ac:dyDescent="0.3">
      <c r="I133" s="3" t="s">
        <v>674</v>
      </c>
      <c r="J133" s="5">
        <v>7.8</v>
      </c>
    </row>
    <row r="134" spans="9:10" x14ac:dyDescent="0.3">
      <c r="I134" s="3" t="s">
        <v>895</v>
      </c>
      <c r="J134" s="5">
        <v>7.78</v>
      </c>
    </row>
    <row r="135" spans="9:10" x14ac:dyDescent="0.3">
      <c r="I135" s="3" t="s">
        <v>115</v>
      </c>
      <c r="J135" s="5">
        <v>7.77</v>
      </c>
    </row>
    <row r="136" spans="9:10" x14ac:dyDescent="0.3">
      <c r="I136" s="3" t="s">
        <v>637</v>
      </c>
      <c r="J136" s="5">
        <v>7.76</v>
      </c>
    </row>
    <row r="137" spans="9:10" x14ac:dyDescent="0.3">
      <c r="I137" s="3" t="s">
        <v>577</v>
      </c>
      <c r="J137" s="5">
        <v>7.42</v>
      </c>
    </row>
    <row r="138" spans="9:10" x14ac:dyDescent="0.3">
      <c r="I138" s="3" t="s">
        <v>830</v>
      </c>
      <c r="J138" s="5">
        <v>7.13</v>
      </c>
    </row>
    <row r="139" spans="9:10" x14ac:dyDescent="0.3">
      <c r="I139" s="3" t="s">
        <v>698</v>
      </c>
      <c r="J139" s="5">
        <v>6.88</v>
      </c>
    </row>
    <row r="140" spans="9:10" x14ac:dyDescent="0.3">
      <c r="I140" s="3" t="s">
        <v>423</v>
      </c>
      <c r="J140" s="5">
        <v>6.15</v>
      </c>
    </row>
    <row r="141" spans="9:10" x14ac:dyDescent="0.3">
      <c r="I141" s="3" t="s">
        <v>495</v>
      </c>
      <c r="J141" s="5">
        <v>5.78</v>
      </c>
    </row>
    <row r="142" spans="9:10" x14ac:dyDescent="0.3">
      <c r="I142" s="3" t="s">
        <v>1024</v>
      </c>
      <c r="J142" s="5">
        <v>5.67</v>
      </c>
    </row>
    <row r="143" spans="9:10" x14ac:dyDescent="0.3">
      <c r="I143" s="3" t="s">
        <v>670</v>
      </c>
      <c r="J143" s="5">
        <v>5.65</v>
      </c>
    </row>
    <row r="144" spans="9:10" x14ac:dyDescent="0.3">
      <c r="I144" s="3" t="s">
        <v>290</v>
      </c>
      <c r="J144" s="5">
        <v>5.58</v>
      </c>
    </row>
    <row r="145" spans="9:10" x14ac:dyDescent="0.3">
      <c r="I145" s="3" t="s">
        <v>442</v>
      </c>
      <c r="J145" s="5">
        <v>5.58</v>
      </c>
    </row>
    <row r="146" spans="9:10" x14ac:dyDescent="0.3">
      <c r="I146" s="3" t="s">
        <v>365</v>
      </c>
      <c r="J146" s="5">
        <v>0</v>
      </c>
    </row>
    <row r="147" spans="9:10" x14ac:dyDescent="0.3">
      <c r="I147" s="3" t="s">
        <v>336</v>
      </c>
      <c r="J147" s="5">
        <v>0</v>
      </c>
    </row>
    <row r="148" spans="9:10" x14ac:dyDescent="0.3">
      <c r="I148" s="3" t="s">
        <v>866</v>
      </c>
      <c r="J148" s="5">
        <v>0</v>
      </c>
    </row>
    <row r="149" spans="9:10" x14ac:dyDescent="0.3">
      <c r="I149" s="3" t="s">
        <v>537</v>
      </c>
      <c r="J149" s="5">
        <v>0</v>
      </c>
    </row>
    <row r="150" spans="9:10" x14ac:dyDescent="0.3">
      <c r="I150" s="3" t="s">
        <v>992</v>
      </c>
      <c r="J150" s="5">
        <v>0</v>
      </c>
    </row>
    <row r="151" spans="9:10" x14ac:dyDescent="0.3">
      <c r="I151" s="3" t="s">
        <v>682</v>
      </c>
      <c r="J151" s="5">
        <v>0</v>
      </c>
    </row>
    <row r="152" spans="9:10" x14ac:dyDescent="0.3">
      <c r="I152" s="3" t="s">
        <v>351</v>
      </c>
      <c r="J152" s="5">
        <v>0</v>
      </c>
    </row>
    <row r="153" spans="9:10" x14ac:dyDescent="0.3">
      <c r="I153" s="3" t="s">
        <v>686</v>
      </c>
      <c r="J153" s="5">
        <v>0</v>
      </c>
    </row>
    <row r="154" spans="9:10" x14ac:dyDescent="0.3">
      <c r="I154" s="3" t="s">
        <v>464</v>
      </c>
      <c r="J154" s="5">
        <v>0</v>
      </c>
    </row>
    <row r="155" spans="9:10" x14ac:dyDescent="0.3">
      <c r="I155" s="3" t="s">
        <v>31</v>
      </c>
      <c r="J155" s="5">
        <v>0</v>
      </c>
    </row>
    <row r="156" spans="9:10" x14ac:dyDescent="0.3">
      <c r="I156" s="3" t="s">
        <v>209</v>
      </c>
      <c r="J156" s="5">
        <v>0</v>
      </c>
    </row>
    <row r="157" spans="9:10" x14ac:dyDescent="0.3">
      <c r="I157" s="3" t="s">
        <v>733</v>
      </c>
      <c r="J157" s="5">
        <v>0</v>
      </c>
    </row>
    <row r="158" spans="9:10" x14ac:dyDescent="0.3">
      <c r="I158" s="3" t="s">
        <v>916</v>
      </c>
      <c r="J158" s="5">
        <v>0</v>
      </c>
    </row>
    <row r="159" spans="9:10" x14ac:dyDescent="0.3">
      <c r="I159" s="3" t="s">
        <v>654</v>
      </c>
      <c r="J159" s="5">
        <v>0</v>
      </c>
    </row>
    <row r="160" spans="9:10" x14ac:dyDescent="0.3">
      <c r="I160" s="3" t="s">
        <v>589</v>
      </c>
      <c r="J160" s="5">
        <v>0</v>
      </c>
    </row>
    <row r="161" spans="9:10" x14ac:dyDescent="0.3">
      <c r="I161" s="3" t="s">
        <v>84</v>
      </c>
      <c r="J161" s="5">
        <v>0</v>
      </c>
    </row>
    <row r="162" spans="9:10" x14ac:dyDescent="0.3">
      <c r="I162" s="3" t="s">
        <v>51</v>
      </c>
      <c r="J162" s="5">
        <v>0</v>
      </c>
    </row>
    <row r="163" spans="9:10" x14ac:dyDescent="0.3">
      <c r="I163" s="3" t="s">
        <v>612</v>
      </c>
      <c r="J163" s="5">
        <v>0</v>
      </c>
    </row>
    <row r="164" spans="9:10" x14ac:dyDescent="0.3">
      <c r="I164" s="3" t="s">
        <v>988</v>
      </c>
      <c r="J164" s="5">
        <v>0</v>
      </c>
    </row>
    <row r="165" spans="9:10" x14ac:dyDescent="0.3">
      <c r="I165" s="3" t="s">
        <v>1020</v>
      </c>
      <c r="J165" s="5">
        <v>0</v>
      </c>
    </row>
    <row r="166" spans="9:10" x14ac:dyDescent="0.3">
      <c r="I166" s="3" t="s">
        <v>924</v>
      </c>
      <c r="J166" s="5">
        <v>0</v>
      </c>
    </row>
    <row r="167" spans="9:10" x14ac:dyDescent="0.3">
      <c r="I167" s="3" t="s">
        <v>904</v>
      </c>
      <c r="J167" s="5">
        <v>0</v>
      </c>
    </row>
    <row r="168" spans="9:10" x14ac:dyDescent="0.3">
      <c r="I168" s="3" t="s">
        <v>628</v>
      </c>
      <c r="J168" s="5">
        <v>0</v>
      </c>
    </row>
    <row r="169" spans="9:10" x14ac:dyDescent="0.3">
      <c r="I169" s="3" t="s">
        <v>1309</v>
      </c>
      <c r="J169" s="5">
        <v>1382.2399999999993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BC5E-E033-454F-875E-9DE764B23E3F}">
  <sheetPr codeName="Hoja8">
    <tabColor rgb="FFC65911"/>
  </sheetPr>
  <dimension ref="B1:U7"/>
  <sheetViews>
    <sheetView tabSelected="1" workbookViewId="0">
      <selection activeCell="Q16" sqref="Q16"/>
    </sheetView>
  </sheetViews>
  <sheetFormatPr baseColWidth="10" defaultRowHeight="14.4" x14ac:dyDescent="0.3"/>
  <cols>
    <col min="1" max="19" width="11.5546875" style="7"/>
    <col min="20" max="21" width="0" style="7" hidden="1" customWidth="1"/>
    <col min="22" max="16384" width="11.5546875" style="7"/>
  </cols>
  <sheetData>
    <row r="1" spans="2:21" x14ac:dyDescent="0.3">
      <c r="T1" s="7" t="s">
        <v>1323</v>
      </c>
      <c r="U1" s="7" t="s">
        <v>1316</v>
      </c>
    </row>
    <row r="2" spans="2:21" ht="36" customHeight="1" x14ac:dyDescent="0.3">
      <c r="B2" s="8" t="s">
        <v>1318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T2" s="7" t="s">
        <v>1058</v>
      </c>
      <c r="U2" s="7">
        <v>70</v>
      </c>
    </row>
    <row r="3" spans="2:21" x14ac:dyDescent="0.3">
      <c r="B3" s="9" t="s">
        <v>1324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T3" s="7" t="s">
        <v>1066</v>
      </c>
      <c r="U3" s="7">
        <v>63</v>
      </c>
    </row>
    <row r="4" spans="2:21" x14ac:dyDescent="0.3">
      <c r="T4" s="7" t="s">
        <v>1055</v>
      </c>
      <c r="U4" s="7">
        <v>51</v>
      </c>
    </row>
    <row r="5" spans="2:21" ht="19.95" customHeight="1" x14ac:dyDescent="0.3">
      <c r="B5" s="10" t="s">
        <v>1319</v>
      </c>
      <c r="C5" s="10"/>
      <c r="D5" s="10"/>
      <c r="F5" s="12" t="s">
        <v>1320</v>
      </c>
      <c r="G5" s="12"/>
      <c r="H5" s="12"/>
      <c r="J5" s="14" t="s">
        <v>1321</v>
      </c>
      <c r="K5" s="14"/>
      <c r="L5" s="14"/>
      <c r="N5" s="16" t="s">
        <v>1322</v>
      </c>
      <c r="O5" s="16"/>
      <c r="P5" s="16"/>
      <c r="T5" s="7" t="s">
        <v>1051</v>
      </c>
      <c r="U5" s="7">
        <v>56</v>
      </c>
    </row>
    <row r="6" spans="2:21" x14ac:dyDescent="0.3">
      <c r="B6" s="11">
        <f>COUNTA('Turnos y empleados'!$A$2:$A$241)</f>
        <v>240</v>
      </c>
      <c r="C6" s="11"/>
      <c r="D6" s="11"/>
      <c r="F6" s="13">
        <f>SUM('Turnos y empleados'!$P$2:$P$241)</f>
        <v>1382.2399999999998</v>
      </c>
      <c r="G6" s="13"/>
      <c r="H6" s="13"/>
      <c r="J6" s="15">
        <f>SUM('Turnos y empleados'!$S$2:$S$241)</f>
        <v>26055.71</v>
      </c>
      <c r="K6" s="15"/>
      <c r="L6" s="15"/>
      <c r="N6" s="17">
        <f>COUNTIF('Turnos y empleados'!$N$2:$N$241,"Ausencia*")/COUNTA('Turnos y empleados'!$A$2:$A$241)</f>
        <v>0.27083333333333331</v>
      </c>
      <c r="O6" s="17"/>
      <c r="P6" s="17"/>
    </row>
    <row r="7" spans="2:21" x14ac:dyDescent="0.3">
      <c r="B7" s="11"/>
      <c r="C7" s="11"/>
      <c r="D7" s="11"/>
      <c r="F7" s="13"/>
      <c r="G7" s="13"/>
      <c r="H7" s="13"/>
      <c r="J7" s="15"/>
      <c r="K7" s="15"/>
      <c r="L7" s="15"/>
      <c r="N7" s="17"/>
      <c r="O7" s="17"/>
      <c r="P7" s="17"/>
    </row>
  </sheetData>
  <mergeCells count="10">
    <mergeCell ref="B2:R2"/>
    <mergeCell ref="B3:R3"/>
    <mergeCell ref="B5:D5"/>
    <mergeCell ref="B6:D7"/>
    <mergeCell ref="F5:H5"/>
    <mergeCell ref="F6:H7"/>
    <mergeCell ref="J5:L5"/>
    <mergeCell ref="J6:L7"/>
    <mergeCell ref="N5:P5"/>
    <mergeCell ref="N6:P7"/>
  </mergeCells>
  <pageMargins left="0.7" right="0.7" top="0.75" bottom="0.75" header="0.3" footer="0.3"/>
  <pageSetup paperSize="24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ACF6AAD-1EFF-4919-BBAA-AC6D0F4B4E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Turnos</vt:lpstr>
      <vt:lpstr>Empleados</vt:lpstr>
      <vt:lpstr>Turnos y empleados</vt:lpstr>
      <vt:lpstr>Análisis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Martínez Moltó</dc:creator>
  <cp:lastModifiedBy>Juan Martínez Moltó</cp:lastModifiedBy>
  <cp:lastPrinted>2026-04-25T13:43:57Z</cp:lastPrinted>
  <dcterms:created xsi:type="dcterms:W3CDTF">2015-06-05T18:19:34Z</dcterms:created>
  <dcterms:modified xsi:type="dcterms:W3CDTF">2026-04-25T14:08:19Z</dcterms:modified>
</cp:coreProperties>
</file>